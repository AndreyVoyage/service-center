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9040" windowHeight="17640"/>
  </bookViews>
  <sheets>
    <sheet name="Arkusz2" sheetId="2" r:id="rId1"/>
  </sheets>
  <definedNames>
    <definedName name="_xlnm.Print_Area" localSheetId="0">Arkusz2!$A$1:$G$498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6" i="2"/>
  <c r="G107" i="2"/>
  <c r="G108" i="2"/>
  <c r="G109" i="2"/>
  <c r="G110" i="2"/>
  <c r="G111" i="2"/>
  <c r="G112" i="2"/>
  <c r="G113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8" i="2"/>
  <c r="G139" i="2"/>
  <c r="G140" i="2"/>
  <c r="G141" i="2"/>
  <c r="G142" i="2"/>
  <c r="G143" i="2"/>
  <c r="G144" i="2"/>
  <c r="G145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9" i="2"/>
  <c r="G310" i="2"/>
  <c r="G311" i="2"/>
  <c r="G312" i="2"/>
  <c r="G313" i="2"/>
  <c r="G315" i="2"/>
  <c r="G316" i="2"/>
  <c r="G317" i="2"/>
  <c r="G318" i="2"/>
  <c r="G319" i="2"/>
  <c r="G320" i="2"/>
  <c r="G321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11" i="2"/>
  <c r="G469" i="2" l="1"/>
  <c r="I113" i="2"/>
  <c r="I64" i="2"/>
  <c r="I66" i="2"/>
  <c r="I68" i="2"/>
  <c r="I71" i="2"/>
  <c r="I73" i="2"/>
  <c r="I74" i="2"/>
  <c r="I78" i="2"/>
  <c r="I80" i="2"/>
  <c r="I82" i="2"/>
  <c r="I83" i="2"/>
  <c r="I87" i="2"/>
  <c r="I91" i="2"/>
  <c r="I92" i="2"/>
  <c r="I94" i="2"/>
  <c r="I96" i="2"/>
  <c r="I99" i="2"/>
  <c r="I100" i="2"/>
  <c r="I101" i="2"/>
  <c r="I103" i="2"/>
  <c r="I106" i="2"/>
  <c r="I107" i="2"/>
  <c r="I108" i="2"/>
  <c r="I109" i="2"/>
  <c r="I110" i="2"/>
  <c r="I111" i="2"/>
  <c r="I112" i="2"/>
  <c r="I118" i="2"/>
  <c r="I119" i="2"/>
  <c r="I120" i="2"/>
  <c r="I124" i="2"/>
  <c r="I125" i="2"/>
  <c r="I127" i="2"/>
  <c r="I128" i="2"/>
  <c r="I129" i="2"/>
  <c r="I130" i="2"/>
  <c r="I131" i="2"/>
  <c r="I134" i="2"/>
  <c r="I135" i="2"/>
  <c r="I136" i="2"/>
  <c r="I138" i="2"/>
  <c r="I139" i="2"/>
  <c r="I140" i="2"/>
  <c r="I141" i="2"/>
  <c r="I142" i="2"/>
  <c r="I144" i="2"/>
  <c r="I148" i="2"/>
  <c r="I149" i="2"/>
  <c r="I155" i="2"/>
  <c r="I158" i="2"/>
  <c r="I159" i="2"/>
  <c r="I160" i="2"/>
  <c r="I162" i="2"/>
  <c r="I164" i="2"/>
  <c r="I166" i="2"/>
  <c r="I170" i="2"/>
  <c r="I173" i="2"/>
  <c r="I174" i="2"/>
  <c r="I176" i="2"/>
  <c r="I177" i="2"/>
  <c r="I184" i="2"/>
  <c r="I190" i="2"/>
  <c r="I193" i="2"/>
  <c r="I196" i="2"/>
  <c r="I197" i="2"/>
  <c r="I199" i="2"/>
  <c r="I200" i="2"/>
  <c r="I203" i="2"/>
  <c r="I209" i="2"/>
  <c r="I212" i="2"/>
  <c r="I214" i="2"/>
  <c r="I215" i="2"/>
  <c r="I220" i="2"/>
  <c r="I221" i="2"/>
  <c r="I224" i="2"/>
  <c r="I229" i="2"/>
  <c r="I232" i="2"/>
  <c r="I233" i="2"/>
  <c r="I234" i="2"/>
  <c r="I236" i="2"/>
  <c r="I239" i="2"/>
  <c r="I241" i="2"/>
  <c r="I242" i="2"/>
  <c r="I244" i="2"/>
  <c r="I250" i="2"/>
  <c r="I251" i="2"/>
  <c r="I252" i="2"/>
  <c r="I253" i="2"/>
  <c r="I255" i="2"/>
  <c r="I256" i="2"/>
  <c r="I257" i="2"/>
  <c r="I258" i="2"/>
  <c r="I259" i="2"/>
  <c r="I262" i="2"/>
  <c r="I264" i="2"/>
  <c r="I266" i="2"/>
  <c r="I270" i="2"/>
  <c r="I271" i="2"/>
  <c r="I274" i="2"/>
  <c r="I275" i="2"/>
  <c r="I278" i="2"/>
  <c r="I280" i="2"/>
  <c r="I293" i="2"/>
  <c r="I299" i="2"/>
  <c r="I302" i="2"/>
  <c r="I309" i="2"/>
  <c r="I311" i="2"/>
  <c r="I312" i="2"/>
  <c r="I313" i="2"/>
  <c r="I315" i="2"/>
  <c r="I316" i="2"/>
  <c r="I317" i="2"/>
  <c r="I318" i="2"/>
  <c r="I319" i="2"/>
  <c r="I320" i="2"/>
  <c r="I321" i="2"/>
  <c r="I325" i="2"/>
  <c r="I326" i="2"/>
  <c r="I328" i="2"/>
  <c r="I333" i="2"/>
  <c r="I336" i="2"/>
  <c r="I339" i="2"/>
  <c r="I340" i="2"/>
  <c r="I341" i="2"/>
  <c r="I342" i="2"/>
  <c r="I343" i="2"/>
  <c r="I344" i="2"/>
  <c r="I346" i="2"/>
  <c r="I349" i="2"/>
  <c r="I350" i="2"/>
  <c r="I354" i="2"/>
  <c r="I355" i="2"/>
  <c r="I356" i="2"/>
  <c r="I358" i="2"/>
  <c r="I363" i="2"/>
  <c r="I370" i="2"/>
  <c r="I374" i="2"/>
  <c r="I375" i="2"/>
  <c r="I376" i="2"/>
  <c r="I385" i="2"/>
  <c r="I386" i="2"/>
  <c r="I388" i="2"/>
  <c r="I393" i="2"/>
  <c r="I395" i="2"/>
  <c r="I396" i="2"/>
  <c r="I397" i="2"/>
  <c r="I401" i="2"/>
  <c r="I409" i="2"/>
  <c r="I419" i="2"/>
  <c r="I420" i="2"/>
  <c r="I421" i="2"/>
  <c r="I428" i="2"/>
  <c r="I429" i="2"/>
  <c r="I430" i="2"/>
  <c r="I431" i="2"/>
  <c r="I432" i="2"/>
  <c r="I434" i="2"/>
  <c r="I435" i="2"/>
  <c r="I436" i="2"/>
  <c r="I437" i="2"/>
  <c r="I440" i="2"/>
  <c r="I443" i="2"/>
  <c r="I444" i="2"/>
  <c r="I447" i="2"/>
  <c r="I448" i="2"/>
  <c r="I449" i="2"/>
  <c r="I450" i="2"/>
  <c r="I452" i="2"/>
  <c r="I456" i="2"/>
  <c r="I457" i="2"/>
  <c r="I459" i="2"/>
  <c r="I461" i="2"/>
  <c r="I463" i="2"/>
  <c r="I465" i="2"/>
  <c r="I12" i="2"/>
  <c r="I13" i="2"/>
  <c r="I14" i="2"/>
  <c r="I15" i="2"/>
  <c r="I18" i="2"/>
  <c r="I19" i="2"/>
  <c r="I20" i="2"/>
  <c r="I21" i="2"/>
  <c r="I23" i="2"/>
  <c r="I24" i="2"/>
  <c r="I25" i="2"/>
  <c r="I26" i="2"/>
  <c r="I28" i="2"/>
  <c r="I31" i="2"/>
  <c r="I32" i="2"/>
  <c r="I34" i="2"/>
  <c r="I36" i="2"/>
  <c r="I37" i="2"/>
  <c r="I38" i="2"/>
  <c r="I39" i="2"/>
  <c r="I40" i="2"/>
  <c r="I41" i="2"/>
  <c r="I44" i="2"/>
  <c r="I46" i="2"/>
  <c r="I47" i="2"/>
  <c r="I48" i="2"/>
  <c r="I49" i="2"/>
  <c r="I50" i="2"/>
  <c r="I52" i="2"/>
  <c r="I53" i="2"/>
  <c r="I54" i="2"/>
  <c r="I55" i="2"/>
  <c r="I56" i="2"/>
  <c r="I57" i="2"/>
  <c r="I59" i="2"/>
  <c r="I60" i="2"/>
</calcChain>
</file>

<file path=xl/sharedStrings.xml><?xml version="1.0" encoding="utf-8"?>
<sst xmlns="http://schemas.openxmlformats.org/spreadsheetml/2006/main" count="1822" uniqueCount="1339">
  <si>
    <t xml:space="preserve">NIP:8513222282 </t>
  </si>
  <si>
    <t xml:space="preserve">tel. + 48 792 000 485 </t>
  </si>
  <si>
    <t>Pork meat</t>
  </si>
  <si>
    <t>Wieprzowina</t>
  </si>
  <si>
    <t>Свинина</t>
  </si>
  <si>
    <t>Pork tongues</t>
  </si>
  <si>
    <t>Soup bones</t>
  </si>
  <si>
    <t>Pork liver</t>
  </si>
  <si>
    <t>Pork foots / trotters</t>
  </si>
  <si>
    <t>Pork tails</t>
  </si>
  <si>
    <t>Pork back fat thin</t>
  </si>
  <si>
    <t>Pork bones smoked</t>
  </si>
  <si>
    <t>Pork hock / shank</t>
  </si>
  <si>
    <t>Pork half - sides*</t>
  </si>
  <si>
    <t>Pork shoulder - boneless</t>
  </si>
  <si>
    <t>Pork minced meat</t>
  </si>
  <si>
    <t>Pork loin - bone in</t>
  </si>
  <si>
    <t>Pork ham fresh - boneless</t>
  </si>
  <si>
    <t>Pork goulash</t>
  </si>
  <si>
    <t>Pork loin chops, bone in</t>
  </si>
  <si>
    <t>Pork neck - boneless</t>
  </si>
  <si>
    <t>Russian dumplings</t>
  </si>
  <si>
    <t>Pork loin - boneless</t>
  </si>
  <si>
    <t>Pork spare-ribs</t>
  </si>
  <si>
    <t xml:space="preserve">Pork belly - boneless </t>
  </si>
  <si>
    <t>Smoked bacon-boneless whole</t>
  </si>
  <si>
    <t>Dumplings hand made</t>
  </si>
  <si>
    <t>Pork tenderloin</t>
  </si>
  <si>
    <t>Ozory wiep.</t>
  </si>
  <si>
    <t>Kości schabowe</t>
  </si>
  <si>
    <t>Wątrobka wiep.</t>
  </si>
  <si>
    <t>Nóżki wiep.</t>
  </si>
  <si>
    <t>Ogony wiep.</t>
  </si>
  <si>
    <t>Słonina</t>
  </si>
  <si>
    <t>Kosci wędzone</t>
  </si>
  <si>
    <t>Golonka wiep.</t>
  </si>
  <si>
    <t>Półtusza wiep.</t>
  </si>
  <si>
    <t>Łopatka b/k</t>
  </si>
  <si>
    <t>Mielone wieprzowe</t>
  </si>
  <si>
    <t>Schab z/k</t>
  </si>
  <si>
    <t xml:space="preserve">Szynka surowa b/k </t>
  </si>
  <si>
    <t>Gulaszowe wiep.</t>
  </si>
  <si>
    <t>Kotlety wieprzowe n/k</t>
  </si>
  <si>
    <t>Karkówka b/k</t>
  </si>
  <si>
    <t>Ruskie pierozki z miesiem</t>
  </si>
  <si>
    <t>Schab b/k</t>
  </si>
  <si>
    <t>Żeberka wiep.-paski</t>
  </si>
  <si>
    <t>Boczek świeży b/k</t>
  </si>
  <si>
    <t>Boczek wędzony b/k caly</t>
  </si>
  <si>
    <t>Polędwiczki wiep.</t>
  </si>
  <si>
    <t>Свиной язык</t>
  </si>
  <si>
    <t>Свиные кости</t>
  </si>
  <si>
    <t>Свиная печень</t>
  </si>
  <si>
    <t>Ножки свиные</t>
  </si>
  <si>
    <t>Свиные хвосты</t>
  </si>
  <si>
    <t xml:space="preserve"> Свиные кости копченые</t>
  </si>
  <si>
    <t>Голонка</t>
  </si>
  <si>
    <t>Полутуши свиные</t>
  </si>
  <si>
    <t>Свиная лопатка б/к</t>
  </si>
  <si>
    <t>Фарш свиной</t>
  </si>
  <si>
    <t>Корейка свиная н/к</t>
  </si>
  <si>
    <t>Окорок б\к</t>
  </si>
  <si>
    <t>Свиной гуляш</t>
  </si>
  <si>
    <t>свиные котлеты на косточке</t>
  </si>
  <si>
    <t>пельмени магазинные</t>
  </si>
  <si>
    <t>Ребра свиные</t>
  </si>
  <si>
    <t>Грудинка свиная б/к</t>
  </si>
  <si>
    <t>Бекон копченый, куском</t>
  </si>
  <si>
    <t>пельмени домашние</t>
  </si>
  <si>
    <t>Филейная вырезка</t>
  </si>
  <si>
    <t xml:space="preserve">Matros Consulting Group Yuriy Popovych </t>
  </si>
  <si>
    <t xml:space="preserve">ul. Świętoborzyców 38/35  71-665 Szczecin </t>
  </si>
  <si>
    <t>kg</t>
  </si>
  <si>
    <t>Un</t>
  </si>
  <si>
    <t>Price</t>
  </si>
  <si>
    <t>Pork Chops</t>
  </si>
  <si>
    <t>Kotlety Schabowe</t>
  </si>
  <si>
    <t xml:space="preserve">Свиные Отбивные </t>
  </si>
  <si>
    <t>PORK RIBS /Smoked</t>
  </si>
  <si>
    <t xml:space="preserve">Żeberka wiep.-wędzone </t>
  </si>
  <si>
    <t xml:space="preserve">Ребра свиные/копчиные </t>
  </si>
  <si>
    <t>Ox liver</t>
  </si>
  <si>
    <t>Beef bone in</t>
  </si>
  <si>
    <t>beef minced</t>
  </si>
  <si>
    <t>Ox tails</t>
  </si>
  <si>
    <t>Ox tongues</t>
  </si>
  <si>
    <t>Beef neck</t>
  </si>
  <si>
    <t>Beef shoulder - boneless</t>
  </si>
  <si>
    <t>Beef rump</t>
  </si>
  <si>
    <t>Beef goulash</t>
  </si>
  <si>
    <t>Beef striploin -  boneless</t>
  </si>
  <si>
    <t>Beef topside</t>
  </si>
  <si>
    <t>Beef silverside -  boneless</t>
  </si>
  <si>
    <t>Beef tenderloin</t>
  </si>
  <si>
    <t>Wątroba woł.</t>
  </si>
  <si>
    <t>Wolowina z/k</t>
  </si>
  <si>
    <t>mielone wolowe</t>
  </si>
  <si>
    <t>Ogony wołowe</t>
  </si>
  <si>
    <t>Ozory wołowe</t>
  </si>
  <si>
    <t>Kark wolowy</t>
  </si>
  <si>
    <t>Wołowina z łopatki</t>
  </si>
  <si>
    <t>Krzyzowa wolowa</t>
  </si>
  <si>
    <t>Wol. gulaszowa</t>
  </si>
  <si>
    <t>Rostbef-antrykot b/k</t>
  </si>
  <si>
    <t>Ligawa</t>
  </si>
  <si>
    <t>Polędwica woł.</t>
  </si>
  <si>
    <t>Печень</t>
  </si>
  <si>
    <t>говядина нк</t>
  </si>
  <si>
    <t>Хвосты говяжьи</t>
  </si>
  <si>
    <t>Язык говяжий</t>
  </si>
  <si>
    <t>Лопатка говяжья б/к</t>
  </si>
  <si>
    <t>ромштекс говяжий/задняя часть</t>
  </si>
  <si>
    <t>Гуляш говяжий</t>
  </si>
  <si>
    <t>Ростбиф б/к</t>
  </si>
  <si>
    <t>Zrazowa gorna</t>
  </si>
  <si>
    <t>оковалок</t>
  </si>
  <si>
    <t>Говяжья вырезка</t>
  </si>
  <si>
    <t>Beef meat</t>
  </si>
  <si>
    <t>Wolowina</t>
  </si>
  <si>
    <t>Говядина</t>
  </si>
  <si>
    <t>Зразовая лопатка верхняя</t>
  </si>
  <si>
    <t xml:space="preserve">Стейк без кости </t>
  </si>
  <si>
    <t>Antrykot B/K</t>
  </si>
  <si>
    <t xml:space="preserve">Beef Spencer Roll </t>
  </si>
  <si>
    <t>Poultry</t>
  </si>
  <si>
    <t>Drób</t>
  </si>
  <si>
    <t>Птица</t>
  </si>
  <si>
    <t>Eggs*</t>
  </si>
  <si>
    <t>Chicken quarters</t>
  </si>
  <si>
    <t>Chicken liver</t>
  </si>
  <si>
    <t>Chicken wings</t>
  </si>
  <si>
    <t>Chicken stomaches</t>
  </si>
  <si>
    <t>Chicken hearts</t>
  </si>
  <si>
    <t xml:space="preserve">Chicken whole </t>
  </si>
  <si>
    <t>Duck - frozen</t>
  </si>
  <si>
    <t>Chicken fillet</t>
  </si>
  <si>
    <t>Turkey whole - frozen</t>
  </si>
  <si>
    <t>Turkey breast fillet</t>
  </si>
  <si>
    <t>Jaja świeże*</t>
  </si>
  <si>
    <t>Cwiartki drobiowe</t>
  </si>
  <si>
    <t>Wątróbka drob.</t>
  </si>
  <si>
    <t>Skrzydełka drob.</t>
  </si>
  <si>
    <t>Żołądki drob.</t>
  </si>
  <si>
    <t>Serca drob.</t>
  </si>
  <si>
    <t>Kaczki mrożone</t>
  </si>
  <si>
    <t>Filet z piersi kurczaka</t>
  </si>
  <si>
    <t>Indyki mrożone</t>
  </si>
  <si>
    <t>Filet z piersi indyka</t>
  </si>
  <si>
    <t>Яйца*</t>
  </si>
  <si>
    <t>Куриные ножки</t>
  </si>
  <si>
    <t>Куриная печень</t>
  </si>
  <si>
    <t>Куриные крылышки</t>
  </si>
  <si>
    <t>Куриные желудки</t>
  </si>
  <si>
    <t>Куриные сердца</t>
  </si>
  <si>
    <t>Курица</t>
  </si>
  <si>
    <t>Утки с/з</t>
  </si>
  <si>
    <t>Куриное филе</t>
  </si>
  <si>
    <t>Индейка с/з</t>
  </si>
  <si>
    <t>Филе индейки</t>
  </si>
  <si>
    <t>pcs</t>
  </si>
  <si>
    <t>Kurczaki Swieze</t>
  </si>
  <si>
    <t>Fish</t>
  </si>
  <si>
    <t>Ryby</t>
  </si>
  <si>
    <t>Рыба</t>
  </si>
  <si>
    <t>Salmon carcase</t>
  </si>
  <si>
    <t>Crab fingers</t>
  </si>
  <si>
    <t>Alaska pollock fillet</t>
  </si>
  <si>
    <t>Flounder carcase</t>
  </si>
  <si>
    <t>Tilapia fillet</t>
  </si>
  <si>
    <t>Hot-Smoked mackrel</t>
  </si>
  <si>
    <t>Frutti di mare</t>
  </si>
  <si>
    <t>Salted herring fillet in bucket*</t>
  </si>
  <si>
    <t>Hake fillet</t>
  </si>
  <si>
    <t>Trout carcase</t>
  </si>
  <si>
    <t>Squids-tube</t>
  </si>
  <si>
    <t>Squids-rings</t>
  </si>
  <si>
    <t>Carp carcase</t>
  </si>
  <si>
    <t>Coctail shrimps</t>
  </si>
  <si>
    <t>Hallibute carcase</t>
  </si>
  <si>
    <t>Codfish fillet</t>
  </si>
  <si>
    <t>Black Tiger shrimps</t>
  </si>
  <si>
    <t>Smoked salmon</t>
  </si>
  <si>
    <t>Paluszki krabowe</t>
  </si>
  <si>
    <t>Filet z mintaja</t>
  </si>
  <si>
    <t>Fladra tusza</t>
  </si>
  <si>
    <t>Tilapia filet</t>
  </si>
  <si>
    <t>Makrela wędzona na gorąco</t>
  </si>
  <si>
    <t>Mieszanka Frutti di mare</t>
  </si>
  <si>
    <t>Filet śledziowy solony w wiaderku*</t>
  </si>
  <si>
    <t>Filet z morszczuka</t>
  </si>
  <si>
    <t>Pstrąg tusze</t>
  </si>
  <si>
    <t>Tuby z kalmara</t>
  </si>
  <si>
    <t>Karp tusze</t>
  </si>
  <si>
    <t>Krewetki koktajlowe</t>
  </si>
  <si>
    <t>Halibut tusze</t>
  </si>
  <si>
    <t>Dorsz filet</t>
  </si>
  <si>
    <t>Krewetki królewskie</t>
  </si>
  <si>
    <t>Łosoś wędzony</t>
  </si>
  <si>
    <t>Лосось туша</t>
  </si>
  <si>
    <t>Крабовые палочки</t>
  </si>
  <si>
    <t>Минтай, филе с/з</t>
  </si>
  <si>
    <t>Тиляпия, филе с/з</t>
  </si>
  <si>
    <t>Скумбрия горячего копчения</t>
  </si>
  <si>
    <t>Морепродукты</t>
  </si>
  <si>
    <t>Сельдь, филе в ведерке*</t>
  </si>
  <si>
    <t>Хек, филе с/з</t>
  </si>
  <si>
    <t>форель туша</t>
  </si>
  <si>
    <t>Кальмары, кольца</t>
  </si>
  <si>
    <t>Карп, тушка</t>
  </si>
  <si>
    <t>Креветки коктейльные</t>
  </si>
  <si>
    <t>Палтус, тушка</t>
  </si>
  <si>
    <t>Треска,филе</t>
  </si>
  <si>
    <t>Креветки королевские</t>
  </si>
  <si>
    <t>Лосось копченый</t>
  </si>
  <si>
    <t xml:space="preserve">Mackrel whole </t>
  </si>
  <si>
    <t>Makrela tusza</t>
  </si>
  <si>
    <t>Скумбрия туша</t>
  </si>
  <si>
    <t>Śledz tusza</t>
  </si>
  <si>
    <t>Cеледь туша</t>
  </si>
  <si>
    <t>Herring carcase</t>
  </si>
  <si>
    <t>Sausages</t>
  </si>
  <si>
    <t xml:space="preserve">Wędliny </t>
  </si>
  <si>
    <t xml:space="preserve">Колбасные изделия </t>
  </si>
  <si>
    <t>Mortadelle</t>
  </si>
  <si>
    <t>Smoked grill sausage</t>
  </si>
  <si>
    <t>Black-meat pudding</t>
  </si>
  <si>
    <t>Chicken frankfurters</t>
  </si>
  <si>
    <t>Liverpaste meat</t>
  </si>
  <si>
    <t>Frankfurter hot-dog</t>
  </si>
  <si>
    <t>Frankfurter sausage</t>
  </si>
  <si>
    <t>Pork brawn</t>
  </si>
  <si>
    <t>"Slaska"sausage</t>
  </si>
  <si>
    <t>Ordinary sausage</t>
  </si>
  <si>
    <t>"Krakowska" boiled sausage</t>
  </si>
  <si>
    <t>Turkey ham</t>
  </si>
  <si>
    <t>Hammy sausage</t>
  </si>
  <si>
    <t>Semi-smoked thick sausage</t>
  </si>
  <si>
    <t>Smoked boiled sirloin "Sopocka"</t>
  </si>
  <si>
    <t>Smoked pork neck bladder</t>
  </si>
  <si>
    <t>Semi-smoked garlic sausage</t>
  </si>
  <si>
    <t>Smoked pork ham</t>
  </si>
  <si>
    <t>Small dry sausage</t>
  </si>
  <si>
    <t>Boiled ham</t>
  </si>
  <si>
    <t xml:space="preserve">Salami sausage </t>
  </si>
  <si>
    <t>"Kabanosy",very thin dry sausage</t>
  </si>
  <si>
    <t>Smoked dry sausage "Zywiecka"</t>
  </si>
  <si>
    <t>Hunter dry sausage/Juniper saus.</t>
  </si>
  <si>
    <t>"Krakowska" dry sausage</t>
  </si>
  <si>
    <t>Wolińska</t>
  </si>
  <si>
    <t>Kaszanka</t>
  </si>
  <si>
    <t>Parówki drobiowe</t>
  </si>
  <si>
    <t>Pasztet miesny</t>
  </si>
  <si>
    <t>Parowki domowe cienkie</t>
  </si>
  <si>
    <t>Parówkowa/Serdelki</t>
  </si>
  <si>
    <t>Salceson</t>
  </si>
  <si>
    <t>Slaska</t>
  </si>
  <si>
    <t>Zwyczajna</t>
  </si>
  <si>
    <t>"Krakowska" parzona</t>
  </si>
  <si>
    <t>Szynka z piersi indyczej</t>
  </si>
  <si>
    <t>Szynkowka</t>
  </si>
  <si>
    <t>kielbasa Rawska</t>
  </si>
  <si>
    <t>Polędwica wędzona "Sopocka"</t>
  </si>
  <si>
    <t>Baleron</t>
  </si>
  <si>
    <t>Czosnkowa</t>
  </si>
  <si>
    <t>Szynka got./wedz.</t>
  </si>
  <si>
    <t>Suszone kielbaski</t>
  </si>
  <si>
    <t>Szynka got.</t>
  </si>
  <si>
    <t>Salami</t>
  </si>
  <si>
    <t>"Kabanosy"</t>
  </si>
  <si>
    <t>"Żywiecka"</t>
  </si>
  <si>
    <t>Myśliwska/Jalowcowa</t>
  </si>
  <si>
    <t>"Krakowska" sucha</t>
  </si>
  <si>
    <t>Колбаски волинские</t>
  </si>
  <si>
    <t>Колбаски кровяные с гречневой кашей</t>
  </si>
  <si>
    <t>Сосиски куриные</t>
  </si>
  <si>
    <t>паштет, блок</t>
  </si>
  <si>
    <t>Сардельки</t>
  </si>
  <si>
    <t>Зельц</t>
  </si>
  <si>
    <t xml:space="preserve">Полукопченые сардельки </t>
  </si>
  <si>
    <t>Колбаски тонкие сырокопченые</t>
  </si>
  <si>
    <t>"Краковская", вареная</t>
  </si>
  <si>
    <t>Филе индейки, ветчина</t>
  </si>
  <si>
    <t>Ветчинная колбаса</t>
  </si>
  <si>
    <t>Колбаса полукопченая Равска</t>
  </si>
  <si>
    <t>Филейная вырезка варенокопченая</t>
  </si>
  <si>
    <t>Копченая шейка (Балерон)</t>
  </si>
  <si>
    <t>Колбаска чесночная с жирком</t>
  </si>
  <si>
    <t>Ветчина варенокопченая</t>
  </si>
  <si>
    <t>сухие копченые колбаски</t>
  </si>
  <si>
    <t>Ветчина вареная</t>
  </si>
  <si>
    <t>Cалями польское</t>
  </si>
  <si>
    <t>"Кабаносы" (тонкие охотничьи сосиски)</t>
  </si>
  <si>
    <t>"Живецкая" колбаса</t>
  </si>
  <si>
    <t>Колбаски охотничьи/можжевеловые</t>
  </si>
  <si>
    <t>"Краковкая" колбаса</t>
  </si>
  <si>
    <t xml:space="preserve">Fresh Grill Sausage / White </t>
  </si>
  <si>
    <t>Kielbasa biala</t>
  </si>
  <si>
    <t xml:space="preserve">Колбаса гриль белая </t>
  </si>
  <si>
    <t>Canned meat</t>
  </si>
  <si>
    <t>Przetwory mięsne</t>
  </si>
  <si>
    <t>Мясные консервы</t>
  </si>
  <si>
    <t>Liverpaste chicken</t>
  </si>
  <si>
    <t xml:space="preserve">Liverpaste pork </t>
  </si>
  <si>
    <t>Tinned minced meat</t>
  </si>
  <si>
    <t>Luncheon meat</t>
  </si>
  <si>
    <t>Luncheon pork 94% of meat</t>
  </si>
  <si>
    <t>Corned beef</t>
  </si>
  <si>
    <t>Pork shank in tin</t>
  </si>
  <si>
    <t>Pork ham in tin</t>
  </si>
  <si>
    <t>Pasztet drobiowy</t>
  </si>
  <si>
    <t xml:space="preserve">Pasztet wieprzowy </t>
  </si>
  <si>
    <t>Konserwa turystyczna</t>
  </si>
  <si>
    <t>Mielonka wieprzowa</t>
  </si>
  <si>
    <t>Тушенка свиная 94% мяса</t>
  </si>
  <si>
    <t>Mielonka wolowa</t>
  </si>
  <si>
    <t>Golonka dębicka</t>
  </si>
  <si>
    <t>Szynka konserwowa 1 lbs</t>
  </si>
  <si>
    <t>Куриный паштет</t>
  </si>
  <si>
    <t>"Завтрак туриста"</t>
  </si>
  <si>
    <t>Тушенка свиная</t>
  </si>
  <si>
    <t>Gulasz angielski 94% miesa</t>
  </si>
  <si>
    <t>Тушенка говяжья</t>
  </si>
  <si>
    <t>Холодец "Дембицкий"</t>
  </si>
  <si>
    <t>Ветчина консервированная</t>
  </si>
  <si>
    <t>tin</t>
  </si>
  <si>
    <t>Tinned fish</t>
  </si>
  <si>
    <t>Przetwory rybne</t>
  </si>
  <si>
    <t>Рыбные консервы</t>
  </si>
  <si>
    <t>Sardines in tin</t>
  </si>
  <si>
    <t>Sprats in tin</t>
  </si>
  <si>
    <t>Herring in tomato/oil</t>
  </si>
  <si>
    <t>Mackrel in oil/tomato</t>
  </si>
  <si>
    <t>Tuna in tin</t>
  </si>
  <si>
    <t>Herring in vinegear canned</t>
  </si>
  <si>
    <t>Salmon in tin</t>
  </si>
  <si>
    <t>Sardynka kons.</t>
  </si>
  <si>
    <t>Szprot kons. tomat/olej</t>
  </si>
  <si>
    <t>Śledź kons. tomat/olej</t>
  </si>
  <si>
    <t>Makrela kons. tomat/olej</t>
  </si>
  <si>
    <t>Tuńczyk kons.</t>
  </si>
  <si>
    <t>Śledź Bismarck</t>
  </si>
  <si>
    <t>Losoś konserw</t>
  </si>
  <si>
    <t>Сардины консерв.</t>
  </si>
  <si>
    <t>Шпроты в масле\томате</t>
  </si>
  <si>
    <t>Сельдь в масле\томате</t>
  </si>
  <si>
    <t>Скумбрия в масле\томате</t>
  </si>
  <si>
    <t>Тунец консерв.</t>
  </si>
  <si>
    <t>Филе сельди в маринаде</t>
  </si>
  <si>
    <t>Лосось консервированный</t>
  </si>
  <si>
    <t>jar</t>
  </si>
  <si>
    <t>Dairyproducts</t>
  </si>
  <si>
    <t>Artykuły nabiałowe</t>
  </si>
  <si>
    <t>Молочные продукты</t>
  </si>
  <si>
    <t>Yogurt fruit</t>
  </si>
  <si>
    <t>Cream cheese</t>
  </si>
  <si>
    <t>Sweet rice desert</t>
  </si>
  <si>
    <t>Cheese, cottage</t>
  </si>
  <si>
    <t>Milk LL 1.5%</t>
  </si>
  <si>
    <t>Milk LL 3.2%</t>
  </si>
  <si>
    <t>Milk, evaporated</t>
  </si>
  <si>
    <t>Milk fresh</t>
  </si>
  <si>
    <t>Buttermilk</t>
  </si>
  <si>
    <t>Philadelfia cheese (local)</t>
  </si>
  <si>
    <t>Cremona - creamer</t>
  </si>
  <si>
    <t xml:space="preserve">Kefir </t>
  </si>
  <si>
    <t>Brie cheese</t>
  </si>
  <si>
    <t>Feta cheese</t>
  </si>
  <si>
    <t xml:space="preserve">Philadelfia cheese   </t>
  </si>
  <si>
    <t>Yogurt fruit, drinking</t>
  </si>
  <si>
    <t>Milk,condensed (sweeted)</t>
  </si>
  <si>
    <t>Yogurt plain (natural)</t>
  </si>
  <si>
    <t>Cream whipping LL 36%</t>
  </si>
  <si>
    <t>Curd (quark)</t>
  </si>
  <si>
    <t>Cheese, Gouda</t>
  </si>
  <si>
    <t>Cheese smoked</t>
  </si>
  <si>
    <t>Cheese,Mozarella</t>
  </si>
  <si>
    <t>Cheese,Edam</t>
  </si>
  <si>
    <t>Cheese Maasdamer</t>
  </si>
  <si>
    <t>Cheese with holes</t>
  </si>
  <si>
    <t>Jogurt owocowy</t>
  </si>
  <si>
    <t>Ser topiony 100g</t>
  </si>
  <si>
    <t>Deser ryzowy Belriso</t>
  </si>
  <si>
    <t>Serek wejski</t>
  </si>
  <si>
    <t>Mleko UHT 1.5%</t>
  </si>
  <si>
    <t>Mleko UHT 3.2%</t>
  </si>
  <si>
    <t xml:space="preserve">Mleko zagęszczone b/c </t>
  </si>
  <si>
    <t>Mleko świeże</t>
  </si>
  <si>
    <t>Maslanka</t>
  </si>
  <si>
    <t>Ser  kremowy</t>
  </si>
  <si>
    <t>Śmietanka do kawy 200g</t>
  </si>
  <si>
    <t>Ser Brie</t>
  </si>
  <si>
    <t xml:space="preserve">Ser feta </t>
  </si>
  <si>
    <t>Ser kremowy Filadelfia</t>
  </si>
  <si>
    <t>Jogurt owocowy pitny</t>
  </si>
  <si>
    <t>Mleko skond.słodzone</t>
  </si>
  <si>
    <t>Jogurt naturalny</t>
  </si>
  <si>
    <t>Śmietana słodka 36%</t>
  </si>
  <si>
    <t>Ser biały/twaróg</t>
  </si>
  <si>
    <t>Ser Gouda</t>
  </si>
  <si>
    <t>Ser wedzony</t>
  </si>
  <si>
    <t>Ser Mozarella</t>
  </si>
  <si>
    <t>Ser Edamski</t>
  </si>
  <si>
    <t>Сыр "Маасдамер"</t>
  </si>
  <si>
    <t>Сыр с дырочками</t>
  </si>
  <si>
    <t xml:space="preserve">Йогурт фруктовый </t>
  </si>
  <si>
    <t>Плавленные сырки 100г</t>
  </si>
  <si>
    <t>рисовый десерт</t>
  </si>
  <si>
    <t>Творог зернистый (литовский)</t>
  </si>
  <si>
    <t>Молоко 1,5%</t>
  </si>
  <si>
    <t>Молоко 3,2%</t>
  </si>
  <si>
    <t>Молоко пастеризованное</t>
  </si>
  <si>
    <t>Пахта (как биокефир)</t>
  </si>
  <si>
    <t xml:space="preserve">Крем-сыр </t>
  </si>
  <si>
    <t>Сливки сухие</t>
  </si>
  <si>
    <t>Kефир</t>
  </si>
  <si>
    <t>Сыр "Бри"</t>
  </si>
  <si>
    <t>Фета</t>
  </si>
  <si>
    <t>Крем-сыр "Филадельфия"</t>
  </si>
  <si>
    <t xml:space="preserve">Йогурт фруктовый питьевой </t>
  </si>
  <si>
    <t>Сгущенное молоко с/с</t>
  </si>
  <si>
    <t>Йогурт натуральный</t>
  </si>
  <si>
    <t>Сливки 36% 500 мл</t>
  </si>
  <si>
    <t>Творог</t>
  </si>
  <si>
    <t>Сыр "Гауда"</t>
  </si>
  <si>
    <t>Сыр колбасный (копченый)</t>
  </si>
  <si>
    <t>Mоцарелла</t>
  </si>
  <si>
    <t>Сыр "Эдам"</t>
  </si>
  <si>
    <t>Ser Maasdamer</t>
  </si>
  <si>
    <t>Ser z dziurkami</t>
  </si>
  <si>
    <t>cup</t>
  </si>
  <si>
    <t>pkt</t>
  </si>
  <si>
    <t>ltr</t>
  </si>
  <si>
    <t>Vegetable</t>
  </si>
  <si>
    <t>Warzywa</t>
  </si>
  <si>
    <t>Овощи</t>
  </si>
  <si>
    <t>Cabbage white</t>
  </si>
  <si>
    <t>Onions</t>
  </si>
  <si>
    <t xml:space="preserve">Potatoes </t>
  </si>
  <si>
    <t>Beetroots</t>
  </si>
  <si>
    <t>Carrots</t>
  </si>
  <si>
    <t>Radish red</t>
  </si>
  <si>
    <t>Cabbage red</t>
  </si>
  <si>
    <t>Cabbage chinese</t>
  </si>
  <si>
    <t>Lettuce</t>
  </si>
  <si>
    <t>"Sour cucumbers" set</t>
  </si>
  <si>
    <t>Leeks</t>
  </si>
  <si>
    <t>Lettuce Iceberg</t>
  </si>
  <si>
    <t>Celery root</t>
  </si>
  <si>
    <t>Green celery</t>
  </si>
  <si>
    <t>Broccoli</t>
  </si>
  <si>
    <t>Radish white</t>
  </si>
  <si>
    <t>Parsley root</t>
  </si>
  <si>
    <t>Cauliflower</t>
  </si>
  <si>
    <t>Tomatoes</t>
  </si>
  <si>
    <t>Champignons</t>
  </si>
  <si>
    <t>Cucumbers**</t>
  </si>
  <si>
    <t>Paprika red (bell pepper)</t>
  </si>
  <si>
    <t>Zuchini</t>
  </si>
  <si>
    <t>Eggplant</t>
  </si>
  <si>
    <t>Paprika green (bell pepper)</t>
  </si>
  <si>
    <t>Paprika yellow (bell pepper)</t>
  </si>
  <si>
    <t>Garlic</t>
  </si>
  <si>
    <t>Ginger root</t>
  </si>
  <si>
    <t>Hot chilli pepper RED</t>
  </si>
  <si>
    <t>Kapusta biała</t>
  </si>
  <si>
    <t>Natka pietruszki</t>
  </si>
  <si>
    <t>Cebula</t>
  </si>
  <si>
    <t>Ziemniak</t>
  </si>
  <si>
    <t>Buraki</t>
  </si>
  <si>
    <t>Marchew</t>
  </si>
  <si>
    <t>Koperek</t>
  </si>
  <si>
    <t>Szczypiorek</t>
  </si>
  <si>
    <t>Rzodkiewka czerwona</t>
  </si>
  <si>
    <t>Kapusta czerwona</t>
  </si>
  <si>
    <t>Kapusta pekińska</t>
  </si>
  <si>
    <t>Sałata</t>
  </si>
  <si>
    <t>Zestaw do kiszenia ogórków</t>
  </si>
  <si>
    <t>Por</t>
  </si>
  <si>
    <t>Sałata lodowa</t>
  </si>
  <si>
    <t>Seler korzeń</t>
  </si>
  <si>
    <t>Seler naciowy</t>
  </si>
  <si>
    <t>Brokuły</t>
  </si>
  <si>
    <t>Rzodkiew biała</t>
  </si>
  <si>
    <t>Pietruszka korzeń</t>
  </si>
  <si>
    <t>Kalafior</t>
  </si>
  <si>
    <t>Pomidory</t>
  </si>
  <si>
    <t>Pieczarki</t>
  </si>
  <si>
    <t>Ogórki**</t>
  </si>
  <si>
    <t>Papryka czerwona</t>
  </si>
  <si>
    <t>Cukinia</t>
  </si>
  <si>
    <t>Bakłażan</t>
  </si>
  <si>
    <t>Papryka zielona</t>
  </si>
  <si>
    <t>Papryka żółta</t>
  </si>
  <si>
    <t>Czosnek</t>
  </si>
  <si>
    <t>Imbir korzeń</t>
  </si>
  <si>
    <t>Papryka ostra CZERWONA</t>
  </si>
  <si>
    <t>Лук</t>
  </si>
  <si>
    <t>Свекла</t>
  </si>
  <si>
    <t>Морковь</t>
  </si>
  <si>
    <t>Капуста краснокачанная</t>
  </si>
  <si>
    <t>Китайская капуста</t>
  </si>
  <si>
    <t>Салат</t>
  </si>
  <si>
    <t>Сбор д/соления огурцов</t>
  </si>
  <si>
    <t xml:space="preserve">Лук - порей </t>
  </si>
  <si>
    <t>Салат "Айсберг"</t>
  </si>
  <si>
    <t>Сельдерей, корень</t>
  </si>
  <si>
    <t>Сельдерей, стебель</t>
  </si>
  <si>
    <t>Брокколи</t>
  </si>
  <si>
    <t>Редис белый</t>
  </si>
  <si>
    <t>Петрушка, корень</t>
  </si>
  <si>
    <t>Цветная капуста</t>
  </si>
  <si>
    <t>Шампиньоны</t>
  </si>
  <si>
    <t>Огурцы**</t>
  </si>
  <si>
    <t>Болгарский перец красный</t>
  </si>
  <si>
    <t>Цуккини</t>
  </si>
  <si>
    <t>Баклажан</t>
  </si>
  <si>
    <t>Болгарский перец зеленый</t>
  </si>
  <si>
    <t>Болгарский перец желтый</t>
  </si>
  <si>
    <t>Чеснок</t>
  </si>
  <si>
    <t>Имбирь, корень</t>
  </si>
  <si>
    <t>Острый перец чили Красный</t>
  </si>
  <si>
    <t>bunc</t>
  </si>
  <si>
    <t>bunch</t>
  </si>
  <si>
    <t>Fruits</t>
  </si>
  <si>
    <t>Owoce świerze</t>
  </si>
  <si>
    <t>Фрукты свежие</t>
  </si>
  <si>
    <t>Nectarine</t>
  </si>
  <si>
    <t>Nektarynki</t>
  </si>
  <si>
    <t>Нектарины</t>
  </si>
  <si>
    <t>Peaches</t>
  </si>
  <si>
    <t>Brzoskwinie</t>
  </si>
  <si>
    <t>Персики</t>
  </si>
  <si>
    <t>Plums red</t>
  </si>
  <si>
    <t>Śliwki czerwone</t>
  </si>
  <si>
    <t>Сливы красна</t>
  </si>
  <si>
    <t>Strawberries</t>
  </si>
  <si>
    <t>Truskawki</t>
  </si>
  <si>
    <t>Клубника</t>
  </si>
  <si>
    <t>Sweet cherry</t>
  </si>
  <si>
    <t>Czereśnie</t>
  </si>
  <si>
    <t>Черешня</t>
  </si>
  <si>
    <t>Watermelons</t>
  </si>
  <si>
    <t>Arbuzy</t>
  </si>
  <si>
    <t>Арбуз</t>
  </si>
  <si>
    <t>Apples - local</t>
  </si>
  <si>
    <t>Jabłka polskie</t>
  </si>
  <si>
    <t>Яблоки польские</t>
  </si>
  <si>
    <t>Grapefruits red</t>
  </si>
  <si>
    <t>Greifruty czerw.</t>
  </si>
  <si>
    <t>Грейпфрут красный</t>
  </si>
  <si>
    <t xml:space="preserve">Oranges </t>
  </si>
  <si>
    <t>Pomarańcze</t>
  </si>
  <si>
    <t>Апельсины</t>
  </si>
  <si>
    <t>Pears</t>
  </si>
  <si>
    <t>Gruszki</t>
  </si>
  <si>
    <t xml:space="preserve">Груши </t>
  </si>
  <si>
    <t>Bananas</t>
  </si>
  <si>
    <t>Banany</t>
  </si>
  <si>
    <t>Бананы</t>
  </si>
  <si>
    <t>Lemons</t>
  </si>
  <si>
    <t>Cytryny</t>
  </si>
  <si>
    <t>Лимоны</t>
  </si>
  <si>
    <t>Apples - imported</t>
  </si>
  <si>
    <t>Jabłka import</t>
  </si>
  <si>
    <t>Яблоки импорт</t>
  </si>
  <si>
    <t>Kiwi</t>
  </si>
  <si>
    <t>Киви</t>
  </si>
  <si>
    <t>Tangerines</t>
  </si>
  <si>
    <t>Mandarynki</t>
  </si>
  <si>
    <t>Мандарины</t>
  </si>
  <si>
    <t>Melons</t>
  </si>
  <si>
    <t>Melony</t>
  </si>
  <si>
    <t>Дыня</t>
  </si>
  <si>
    <t>Pineapple</t>
  </si>
  <si>
    <t>Ananasy</t>
  </si>
  <si>
    <t>Ананас</t>
  </si>
  <si>
    <t>Grapefruits white/yellow</t>
  </si>
  <si>
    <t>Grejfruty biale</t>
  </si>
  <si>
    <t>Грейпфрут белый</t>
  </si>
  <si>
    <t>Grapes (red)</t>
  </si>
  <si>
    <t>Winogrona (czerwone)</t>
  </si>
  <si>
    <t>Виноград красный</t>
  </si>
  <si>
    <t>Grapes (white)</t>
  </si>
  <si>
    <t>Winogrona (białe)</t>
  </si>
  <si>
    <t>Виноград зеленый</t>
  </si>
  <si>
    <t>Preserved vegetables</t>
  </si>
  <si>
    <t>Przetwory warzywne</t>
  </si>
  <si>
    <t>Консервы овощные</t>
  </si>
  <si>
    <t>Green peas canned</t>
  </si>
  <si>
    <t>Groszek zielony kons. 400 gr</t>
  </si>
  <si>
    <t>Horseradish minced</t>
  </si>
  <si>
    <t>Chrzan tarty</t>
  </si>
  <si>
    <t>Mustard</t>
  </si>
  <si>
    <t>Musztarda sarepska</t>
  </si>
  <si>
    <t xml:space="preserve">Beethroot can. - chopped </t>
  </si>
  <si>
    <t xml:space="preserve">Buraki kons. tarte </t>
  </si>
  <si>
    <t>White/Red beans canned</t>
  </si>
  <si>
    <t>Fasolka biała/czerwona kons.</t>
  </si>
  <si>
    <t xml:space="preserve">Фасоль белая/красная консерв. </t>
  </si>
  <si>
    <t xml:space="preserve">Corn grain canned </t>
  </si>
  <si>
    <t>Kukurydza  konserwowa</t>
  </si>
  <si>
    <t>Sorrel canned</t>
  </si>
  <si>
    <t>Szczaw konserwowy</t>
  </si>
  <si>
    <t>Green peas "Bonduelle"</t>
  </si>
  <si>
    <t>Groszek zielony "Bonduelle"</t>
  </si>
  <si>
    <t>Горошек зеленый  "Bonduelle"</t>
  </si>
  <si>
    <t>Tomatoes canned (pelatti)</t>
  </si>
  <si>
    <t>Vinegar, white</t>
  </si>
  <si>
    <t>Ocet biały</t>
  </si>
  <si>
    <t>Adzhika</t>
  </si>
  <si>
    <t>Adzhika 200g</t>
  </si>
  <si>
    <t>аджика пикантная</t>
  </si>
  <si>
    <t>Keczup "Heinz"</t>
  </si>
  <si>
    <t>btl</t>
  </si>
  <si>
    <t>White sauerkraut canned</t>
  </si>
  <si>
    <t>Kapusta kiszona paster.</t>
  </si>
  <si>
    <t>Капуста квашеная в банке</t>
  </si>
  <si>
    <t>Zucchini caviar</t>
  </si>
  <si>
    <t>Przetarty kabaczek z przyprawami</t>
  </si>
  <si>
    <t>Champinions pickled</t>
  </si>
  <si>
    <t>Pieczarki marinowane</t>
  </si>
  <si>
    <t>Bell pepper canned</t>
  </si>
  <si>
    <t>Papryka konserwowa</t>
  </si>
  <si>
    <t>Mayonaise Provansal 388gr</t>
  </si>
  <si>
    <t>Majonez Provansal 388g</t>
  </si>
  <si>
    <t>White cabbage salted</t>
  </si>
  <si>
    <t>Kapusta kiszona</t>
  </si>
  <si>
    <t>Капуста квашеная. в ведерке</t>
  </si>
  <si>
    <t>Mayonaise</t>
  </si>
  <si>
    <t>Majonez</t>
  </si>
  <si>
    <t>Майонез 430gr</t>
  </si>
  <si>
    <t>Pickled cucumbers(marinated)</t>
  </si>
  <si>
    <t>Ogórki konserwowe</t>
  </si>
  <si>
    <t>Огурцы маринованные</t>
  </si>
  <si>
    <t>Ketchup</t>
  </si>
  <si>
    <t>Keczup</t>
  </si>
  <si>
    <t>Soya sauce</t>
  </si>
  <si>
    <t>Sos sojowy</t>
  </si>
  <si>
    <t>Salted cucumbers canned</t>
  </si>
  <si>
    <t>Ogórki kiszone pasteriz.</t>
  </si>
  <si>
    <t>Огурцы соленые в банке</t>
  </si>
  <si>
    <t>Pattypan squash in vinegar</t>
  </si>
  <si>
    <t>Patisson marynowany</t>
  </si>
  <si>
    <t>Патиссоны маринов.</t>
  </si>
  <si>
    <t>Mayonaise Hellmans</t>
  </si>
  <si>
    <t>Majonez Hellmans</t>
  </si>
  <si>
    <t>Майонез Hellmans 420gr</t>
  </si>
  <si>
    <t>Lecho</t>
  </si>
  <si>
    <t>Vinegar, red 500ml</t>
  </si>
  <si>
    <t>Ocet winny</t>
  </si>
  <si>
    <t>Chilli sauce</t>
  </si>
  <si>
    <t>Sos chili</t>
  </si>
  <si>
    <t>Salted cucumbers</t>
  </si>
  <si>
    <t>Ogórki kiszone</t>
  </si>
  <si>
    <t>Tomato paste</t>
  </si>
  <si>
    <t>Koncentrat pomidorowy</t>
  </si>
  <si>
    <t>1000 island sauce</t>
  </si>
  <si>
    <t>Sos tysiąc wysp</t>
  </si>
  <si>
    <t>Соус 1000 островов</t>
  </si>
  <si>
    <t>Champinions tinned whole 800gr</t>
  </si>
  <si>
    <t>Pieczarki cale pasteryzowane</t>
  </si>
  <si>
    <t>Шампиньоны в собств. cоку 800g</t>
  </si>
  <si>
    <t>Olives black pickled</t>
  </si>
  <si>
    <t>Oliwki czarne marynow.</t>
  </si>
  <si>
    <t>Olives green pickled</t>
  </si>
  <si>
    <t>Oliwki zielone marynow.</t>
  </si>
  <si>
    <t>Canned fruits</t>
  </si>
  <si>
    <t>Przetwory owocowe</t>
  </si>
  <si>
    <t>Консервы фруктовые</t>
  </si>
  <si>
    <t>Blackcurrant jam</t>
  </si>
  <si>
    <t>Джем из черной смородины</t>
  </si>
  <si>
    <t>Cherry jam</t>
  </si>
  <si>
    <t>Джем вишневый</t>
  </si>
  <si>
    <t>Peach jam</t>
  </si>
  <si>
    <t>Персиковый джем</t>
  </si>
  <si>
    <t>Strawberry jam</t>
  </si>
  <si>
    <t xml:space="preserve">Клубничный джем </t>
  </si>
  <si>
    <t>Pineaple jam</t>
  </si>
  <si>
    <t>Джем ананасовый</t>
  </si>
  <si>
    <t>Plum jam</t>
  </si>
  <si>
    <t>Сливовый джем</t>
  </si>
  <si>
    <t>Pineaple sliced</t>
  </si>
  <si>
    <t xml:space="preserve">Ananas plastry </t>
  </si>
  <si>
    <t>Ананасы колечками</t>
  </si>
  <si>
    <t>Plum compote</t>
  </si>
  <si>
    <t>Kompót śliwkowy</t>
  </si>
  <si>
    <t>Компот сливовый</t>
  </si>
  <si>
    <t>Peaches in sirup</t>
  </si>
  <si>
    <t>Brzoskwinie w syropie</t>
  </si>
  <si>
    <t>Персики в сиропе</t>
  </si>
  <si>
    <t>Pears in sirup</t>
  </si>
  <si>
    <t>Gruszki w syropie</t>
  </si>
  <si>
    <t>Груши в сиропе</t>
  </si>
  <si>
    <t>Fruits cocktail</t>
  </si>
  <si>
    <t>Mieszanka owoców trop.</t>
  </si>
  <si>
    <t>Фруктовый тропический коктейль</t>
  </si>
  <si>
    <t>Frozen fruits &amp; vegetables</t>
  </si>
  <si>
    <t>Mrożonki</t>
  </si>
  <si>
    <t>Свежемороженн. овощи/фрукты</t>
  </si>
  <si>
    <t>Carrots DF</t>
  </si>
  <si>
    <t>Marchewka mroż.</t>
  </si>
  <si>
    <t>Potato frites DF</t>
  </si>
  <si>
    <t>Frytki</t>
  </si>
  <si>
    <t xml:space="preserve">Картофель фри </t>
  </si>
  <si>
    <t>Broccoli DF</t>
  </si>
  <si>
    <t>Brokuły mroż.</t>
  </si>
  <si>
    <t>Капуста Брокколи</t>
  </si>
  <si>
    <t>Spinach DF</t>
  </si>
  <si>
    <t>Szpinak mroż.</t>
  </si>
  <si>
    <t>Шпинат</t>
  </si>
  <si>
    <t>Mixed vegetables DF</t>
  </si>
  <si>
    <t>Mieszanka warzywna mroż.</t>
  </si>
  <si>
    <t>Green pease DF</t>
  </si>
  <si>
    <t>Groszek mroż.</t>
  </si>
  <si>
    <t>Зеленый горошек</t>
  </si>
  <si>
    <t>Corn whole DF</t>
  </si>
  <si>
    <t>Kukurydza mroż.</t>
  </si>
  <si>
    <t>Кукуруза</t>
  </si>
  <si>
    <t>Mixed fruits DF</t>
  </si>
  <si>
    <t>Mieszanka owocowa mroż.</t>
  </si>
  <si>
    <t>Фруктовая смесь</t>
  </si>
  <si>
    <t>Cherry DF</t>
  </si>
  <si>
    <t>Wiśnia mroż.</t>
  </si>
  <si>
    <t>Bишня</t>
  </si>
  <si>
    <t>Strawberry DF</t>
  </si>
  <si>
    <t>Truskawka mroż.</t>
  </si>
  <si>
    <t>Black currant DF</t>
  </si>
  <si>
    <t>Porzeczka czarna mroż.</t>
  </si>
  <si>
    <t>Черная смородина</t>
  </si>
  <si>
    <t>Raspberry DF</t>
  </si>
  <si>
    <t>Malina mroż.</t>
  </si>
  <si>
    <t>Mалина</t>
  </si>
  <si>
    <t xml:space="preserve">Dried fruits </t>
  </si>
  <si>
    <t xml:space="preserve">Owoce suszone, </t>
  </si>
  <si>
    <t>Фрукты сушеные</t>
  </si>
  <si>
    <t>Sunflower seeds  60g</t>
  </si>
  <si>
    <t>Ziarna słonecznika</t>
  </si>
  <si>
    <t>Семечки</t>
  </si>
  <si>
    <t>Raisin</t>
  </si>
  <si>
    <t>Rodzynki</t>
  </si>
  <si>
    <t>Изюм</t>
  </si>
  <si>
    <t>Mixed fruits - dried</t>
  </si>
  <si>
    <t>Mieszanka owoców susz</t>
  </si>
  <si>
    <t>Cухофрукты</t>
  </si>
  <si>
    <t>Prune</t>
  </si>
  <si>
    <t>Sliwki suszone</t>
  </si>
  <si>
    <t>Слива сушеная</t>
  </si>
  <si>
    <t>Apricot - dried</t>
  </si>
  <si>
    <t>Morela suszona</t>
  </si>
  <si>
    <t>Курага</t>
  </si>
  <si>
    <t>Nuts</t>
  </si>
  <si>
    <t>Orzechy</t>
  </si>
  <si>
    <t>Oрехи</t>
  </si>
  <si>
    <t xml:space="preserve">Hazel-nuts - shelled </t>
  </si>
  <si>
    <t>Orzechy laskowe</t>
  </si>
  <si>
    <t>Фундук</t>
  </si>
  <si>
    <t>Peanuts</t>
  </si>
  <si>
    <t>Orzechy ziemne</t>
  </si>
  <si>
    <t xml:space="preserve">Арахис </t>
  </si>
  <si>
    <t>Wall nuts shelled / unshelled</t>
  </si>
  <si>
    <t>Orzechy włoskie</t>
  </si>
  <si>
    <t>Грецкий ореx</t>
  </si>
  <si>
    <t>Peanuts - salted in tin</t>
  </si>
  <si>
    <t>Orzeszki solone</t>
  </si>
  <si>
    <t>Арахис соленый</t>
  </si>
  <si>
    <t>Mix of nuts and raisins</t>
  </si>
  <si>
    <t>Mieszanka studencka</t>
  </si>
  <si>
    <t>Смесь студенческая(орешки c изюмoм)</t>
  </si>
  <si>
    <t>200g</t>
  </si>
  <si>
    <t>Almonds</t>
  </si>
  <si>
    <t>Migdaly</t>
  </si>
  <si>
    <t>Миндальный орех</t>
  </si>
  <si>
    <t>Pistachio nuts</t>
  </si>
  <si>
    <t>Orzechy pistacjowe</t>
  </si>
  <si>
    <t>Фисташки</t>
  </si>
  <si>
    <t>Salt,sugar&amp;baking items</t>
  </si>
  <si>
    <t>Sól,cukier i wyroby do peczenia</t>
  </si>
  <si>
    <t>Соль,сахар и все для выпечки</t>
  </si>
  <si>
    <t>Baking powder</t>
  </si>
  <si>
    <t>Proszek do pieczenia 30g</t>
  </si>
  <si>
    <t>Разрыхлитель для теста</t>
  </si>
  <si>
    <t>Vanilla sugar</t>
  </si>
  <si>
    <t xml:space="preserve">Cukier waniliowy </t>
  </si>
  <si>
    <t>ванильный сахар</t>
  </si>
  <si>
    <t>Salt cooking</t>
  </si>
  <si>
    <t>Sól kamienna</t>
  </si>
  <si>
    <t>Соль грубого помола</t>
  </si>
  <si>
    <t>Sode 500gr</t>
  </si>
  <si>
    <t>Soda oczyszczona</t>
  </si>
  <si>
    <t>Сода пищевая</t>
  </si>
  <si>
    <t>Wheat flour</t>
  </si>
  <si>
    <t>Mąka pszeniczna</t>
  </si>
  <si>
    <t>Мука пшеничная</t>
  </si>
  <si>
    <t>Salt mineral table</t>
  </si>
  <si>
    <t>Sól stołowa jodowana</t>
  </si>
  <si>
    <t>Соль столовая</t>
  </si>
  <si>
    <t>Citric acid</t>
  </si>
  <si>
    <t>Kwasek cytrynowy</t>
  </si>
  <si>
    <t>Лимонная кислота</t>
  </si>
  <si>
    <t>100gr</t>
  </si>
  <si>
    <t>Sugar</t>
  </si>
  <si>
    <t>Cukier</t>
  </si>
  <si>
    <t>Сахарный песок</t>
  </si>
  <si>
    <t>Crumbs</t>
  </si>
  <si>
    <t>Bułka tarta</t>
  </si>
  <si>
    <t>Сухари панеровочные</t>
  </si>
  <si>
    <t>Powdered sugar</t>
  </si>
  <si>
    <t>Cukier puder</t>
  </si>
  <si>
    <t>Сахарная пудра</t>
  </si>
  <si>
    <t>Yeast fresh</t>
  </si>
  <si>
    <t>Drożdże świeże</t>
  </si>
  <si>
    <t>Дрожжи свежие</t>
  </si>
  <si>
    <t>Yeast dry</t>
  </si>
  <si>
    <t>Drożdże suche</t>
  </si>
  <si>
    <t>Дрожжи сухие</t>
  </si>
  <si>
    <t>Bread</t>
  </si>
  <si>
    <t>Pieczywo</t>
  </si>
  <si>
    <t>хлебобулочные изделия</t>
  </si>
  <si>
    <t>Rolls</t>
  </si>
  <si>
    <t>Bułeczki</t>
  </si>
  <si>
    <t xml:space="preserve">Булочки </t>
  </si>
  <si>
    <t>Toast bread - sliced</t>
  </si>
  <si>
    <t>Chleb tostowy</t>
  </si>
  <si>
    <t xml:space="preserve">Хлеб для тостов </t>
  </si>
  <si>
    <t>loaf</t>
  </si>
  <si>
    <t>White loaf sliced</t>
  </si>
  <si>
    <t>Bułka pszenna krojona</t>
  </si>
  <si>
    <t>Булка пшеничная, в нарезке</t>
  </si>
  <si>
    <t>White bread (sliced)</t>
  </si>
  <si>
    <t>Chleb zwykly</t>
  </si>
  <si>
    <t>Хлеб пшеничный нарезной</t>
  </si>
  <si>
    <t>French bread short</t>
  </si>
  <si>
    <t>Bułka paryska krotka</t>
  </si>
  <si>
    <t>Французский багет короткий</t>
  </si>
  <si>
    <t>Brown bread</t>
  </si>
  <si>
    <t>Chleb razowy żytni</t>
  </si>
  <si>
    <t>Хлеб ржаной, польский</t>
  </si>
  <si>
    <t>Brown bread with sunflower seeds</t>
  </si>
  <si>
    <t>Chleb ciemny z ziarenkami</t>
  </si>
  <si>
    <t>Хлеб ржаной с семечками</t>
  </si>
  <si>
    <t>Lithwinian dark bread</t>
  </si>
  <si>
    <t>Chleb Litewski</t>
  </si>
  <si>
    <t>Хлеб Литовский с тмином</t>
  </si>
  <si>
    <t>Tortille,mexican pancake 245g</t>
  </si>
  <si>
    <t>naleśniki meksykańskie Tortille</t>
  </si>
  <si>
    <t>мексиканские тортильяс</t>
  </si>
  <si>
    <t>Puff pastry</t>
  </si>
  <si>
    <t xml:space="preserve">Ciasto francuzskie </t>
  </si>
  <si>
    <t>Тесто французское</t>
  </si>
  <si>
    <t>Soft drinks</t>
  </si>
  <si>
    <t>Napoje</t>
  </si>
  <si>
    <t>Напитки</t>
  </si>
  <si>
    <t>Mineral water</t>
  </si>
  <si>
    <t>Woda mineralna ngaz.</t>
  </si>
  <si>
    <t>Минeральная вода, н/газ</t>
  </si>
  <si>
    <t>1,5ltr</t>
  </si>
  <si>
    <t>Sparkling water</t>
  </si>
  <si>
    <t>Woda mineralna gaz.</t>
  </si>
  <si>
    <t>Минeральная вода, газ</t>
  </si>
  <si>
    <t>Apple juice</t>
  </si>
  <si>
    <t>Sok jabłkowy</t>
  </si>
  <si>
    <t>Яблочный сок</t>
  </si>
  <si>
    <t>Tomato juice</t>
  </si>
  <si>
    <t>Sok pomidorowy</t>
  </si>
  <si>
    <t>Томатный сок</t>
  </si>
  <si>
    <t>Orange juice</t>
  </si>
  <si>
    <t>Sok pomarańczowy</t>
  </si>
  <si>
    <t>Апельсиновый сок</t>
  </si>
  <si>
    <t>Mango juice</t>
  </si>
  <si>
    <t>Sok Mango</t>
  </si>
  <si>
    <t>Сок Манго</t>
  </si>
  <si>
    <t>Multifruit juice</t>
  </si>
  <si>
    <t>Sok wieloowocowy</t>
  </si>
  <si>
    <t>Сок мультифрукт</t>
  </si>
  <si>
    <t>Kvas</t>
  </si>
  <si>
    <t>Kwas</t>
  </si>
  <si>
    <t>Квас</t>
  </si>
  <si>
    <t>Grapefruit juice</t>
  </si>
  <si>
    <t>Sok grejfrutowy</t>
  </si>
  <si>
    <t>Грйпфрутовый сок</t>
  </si>
  <si>
    <t>Blackcurrant nectar</t>
  </si>
  <si>
    <t>Nektar z czarnej porzeczki</t>
  </si>
  <si>
    <t>Черносмородиновый нектар</t>
  </si>
  <si>
    <t>Mineral water 5ltr</t>
  </si>
  <si>
    <t>Woda mineralna 5ltr</t>
  </si>
  <si>
    <t xml:space="preserve">Минeральная  вода, н/газ </t>
  </si>
  <si>
    <t>Grapes drink</t>
  </si>
  <si>
    <t>Napoj winogronowy</t>
  </si>
  <si>
    <t>Виноградный напиток</t>
  </si>
  <si>
    <t>Cherry nectar</t>
  </si>
  <si>
    <t>Nectar wiśniowy</t>
  </si>
  <si>
    <t>Вишневый нектар</t>
  </si>
  <si>
    <t>Pineaple juice</t>
  </si>
  <si>
    <t>Sok ananasowy</t>
  </si>
  <si>
    <t>Ананасовый сок</t>
  </si>
  <si>
    <t xml:space="preserve">Coca Cola </t>
  </si>
  <si>
    <t xml:space="preserve">Sprite </t>
  </si>
  <si>
    <t xml:space="preserve">Fanta </t>
  </si>
  <si>
    <t>Margarine, baking</t>
  </si>
  <si>
    <t>Margaryna do pieczenia 250g</t>
  </si>
  <si>
    <t>Маргарин для выпечки</t>
  </si>
  <si>
    <t>Lard</t>
  </si>
  <si>
    <t>Smalec 200g</t>
  </si>
  <si>
    <t>Жир (Сало)</t>
  </si>
  <si>
    <t>Butter natural, unsalted</t>
  </si>
  <si>
    <t>Masło naturalne 200g</t>
  </si>
  <si>
    <t xml:space="preserve">Масло </t>
  </si>
  <si>
    <t>Cooking oil</t>
  </si>
  <si>
    <t>Olej uniwersalny</t>
  </si>
  <si>
    <t>Масло растительное</t>
  </si>
  <si>
    <t>Margarine Rama</t>
  </si>
  <si>
    <t>Margaryna RAMA 400g</t>
  </si>
  <si>
    <t>Маргарин Rama</t>
  </si>
  <si>
    <t>Sunflower oil</t>
  </si>
  <si>
    <t>Olej słonecznikowy</t>
  </si>
  <si>
    <t>Масло подсолнечное</t>
  </si>
  <si>
    <t>Deepfrying fat</t>
  </si>
  <si>
    <t>Frytura</t>
  </si>
  <si>
    <t>Фритюр</t>
  </si>
  <si>
    <t>3ltr</t>
  </si>
  <si>
    <t>Olives oil</t>
  </si>
  <si>
    <t>Oliwa z oliwek</t>
  </si>
  <si>
    <t>Оливковое масло</t>
  </si>
  <si>
    <t>Camomile tea, bags</t>
  </si>
  <si>
    <t>Herbata rumiankowa</t>
  </si>
  <si>
    <t>Ромашковый чай</t>
  </si>
  <si>
    <t>India granulated tea</t>
  </si>
  <si>
    <t>Herbata indyjska gran. 80g</t>
  </si>
  <si>
    <t xml:space="preserve">Грануллированный чай </t>
  </si>
  <si>
    <t>Fruits tea/ Green tea in bags</t>
  </si>
  <si>
    <t>Herbata owocowa</t>
  </si>
  <si>
    <t xml:space="preserve">Фруктовый чай </t>
  </si>
  <si>
    <t>Чай Earl Grey с лимоном 75 пакетиков</t>
  </si>
  <si>
    <t>Lipton tea bags</t>
  </si>
  <si>
    <t>Herbata exp. Lipton</t>
  </si>
  <si>
    <t>Чай в пакетиках Lipton</t>
  </si>
  <si>
    <t>Earl grey tea, bags</t>
  </si>
  <si>
    <t xml:space="preserve">Herbata Earl Grey </t>
  </si>
  <si>
    <t>Чай Earl Grey в пакетиках</t>
  </si>
  <si>
    <t>Nesquik cocoa</t>
  </si>
  <si>
    <t>Kakao rozpuszczalne</t>
  </si>
  <si>
    <t>Какао "Несквик"</t>
  </si>
  <si>
    <t>Local coffee melt</t>
  </si>
  <si>
    <t>Kawa rozpuszczalna</t>
  </si>
  <si>
    <t>Кофе растворимый</t>
  </si>
  <si>
    <t>Local coffee grinded</t>
  </si>
  <si>
    <t>Jacobs Kronung grinded</t>
  </si>
  <si>
    <t>Jakcobs Kronung 500g</t>
  </si>
  <si>
    <t>Кофе Jakcobs Kronung молотый</t>
  </si>
  <si>
    <t>Nescafe Classic</t>
  </si>
  <si>
    <t>Nescafe Classic 200g</t>
  </si>
  <si>
    <t>Кофе Nescafe Classic растворимый</t>
  </si>
  <si>
    <t>Jacobs Gold</t>
  </si>
  <si>
    <t>Jacobs Gold 200g</t>
  </si>
  <si>
    <t>Кофе Jakcobs Gold</t>
  </si>
  <si>
    <t>Nescafe Gold</t>
  </si>
  <si>
    <t>Nescafe Gold 200g</t>
  </si>
  <si>
    <t>Local coffee in beans</t>
  </si>
  <si>
    <t>Kawa w ziarnach</t>
  </si>
  <si>
    <t>Кофе в зернах</t>
  </si>
  <si>
    <t>Candies</t>
  </si>
  <si>
    <t>Słodycze</t>
  </si>
  <si>
    <t>Кондитерские изделия</t>
  </si>
  <si>
    <t>fruit jelly</t>
  </si>
  <si>
    <t>kisiel</t>
  </si>
  <si>
    <t>кисель</t>
  </si>
  <si>
    <t>MARS/SNICKERS</t>
  </si>
  <si>
    <t>Baton Mars/Snickers</t>
  </si>
  <si>
    <t>Марс/Сникерс</t>
  </si>
  <si>
    <t>Chocolate assorted</t>
  </si>
  <si>
    <t>Czekolady różne</t>
  </si>
  <si>
    <t>шоколад</t>
  </si>
  <si>
    <t>"Delicje" , jaffa cakes</t>
  </si>
  <si>
    <t>"Delicje" ciasteczka</t>
  </si>
  <si>
    <t xml:space="preserve">Печенье "Делицие" </t>
  </si>
  <si>
    <t>Krakersy</t>
  </si>
  <si>
    <t>Крекеры</t>
  </si>
  <si>
    <t>Cracknels, salted</t>
  </si>
  <si>
    <t>Paluszki solone</t>
  </si>
  <si>
    <t>Соленые палочки</t>
  </si>
  <si>
    <t>Dannish cakes (rolades)</t>
  </si>
  <si>
    <t>Ciasta duńskie (keksy)</t>
  </si>
  <si>
    <t>рулеты с фруктовой начинкой</t>
  </si>
  <si>
    <t>Ice cream, assorted</t>
  </si>
  <si>
    <t xml:space="preserve">Lody </t>
  </si>
  <si>
    <t>Мороженое в ассорт.</t>
  </si>
  <si>
    <t>Nutella</t>
  </si>
  <si>
    <t>Krem czokoladowy</t>
  </si>
  <si>
    <t>Нутелла</t>
  </si>
  <si>
    <t>Biscuits</t>
  </si>
  <si>
    <t>Herbatniki</t>
  </si>
  <si>
    <t>Печенье в ассорт.</t>
  </si>
  <si>
    <t>Honey cookies</t>
  </si>
  <si>
    <t xml:space="preserve">Pierniki </t>
  </si>
  <si>
    <t xml:space="preserve">Пряники </t>
  </si>
  <si>
    <t>Wafer</t>
  </si>
  <si>
    <t>Wafle</t>
  </si>
  <si>
    <t>Вафли</t>
  </si>
  <si>
    <t>Honey natural</t>
  </si>
  <si>
    <t>Miód pszczeli</t>
  </si>
  <si>
    <t>Biscuits Petite Beurre</t>
  </si>
  <si>
    <t>Herbatniki Petite Beurre</t>
  </si>
  <si>
    <t>Печенье Петит Бер</t>
  </si>
  <si>
    <t>Fruit drops</t>
  </si>
  <si>
    <t>Landrynki owocowe</t>
  </si>
  <si>
    <t>Фруктовые леденцы</t>
  </si>
  <si>
    <t>Biscuits with chocolate</t>
  </si>
  <si>
    <t>Herbatniki z czekoladą</t>
  </si>
  <si>
    <t>Печенье с шок-дом</t>
  </si>
  <si>
    <t>Krowki, polish candies</t>
  </si>
  <si>
    <t>Krówki</t>
  </si>
  <si>
    <t>Конфеты "Коровки"</t>
  </si>
  <si>
    <t>Cakes assorted, ab.500gr</t>
  </si>
  <si>
    <t>Keksy w assort.,ok.500gr</t>
  </si>
  <si>
    <t>Кексы в ассортименте,ок. 500гр.</t>
  </si>
  <si>
    <t>Candies, Mixed chocolate</t>
  </si>
  <si>
    <t>Cukierki czekoladowe w assort.</t>
  </si>
  <si>
    <t>Конфеты шоколадные польские</t>
  </si>
  <si>
    <t>Tea,Coffe</t>
  </si>
  <si>
    <t>Herbata,Kawa</t>
  </si>
  <si>
    <t>Чай,Кофе</t>
  </si>
  <si>
    <t>Spices (10-20g mainly)</t>
  </si>
  <si>
    <t>Przyprawy</t>
  </si>
  <si>
    <t xml:space="preserve">Приправы </t>
  </si>
  <si>
    <t>Grill spice</t>
  </si>
  <si>
    <t>Przyprawa do grila</t>
  </si>
  <si>
    <t>приправа для гриля</t>
  </si>
  <si>
    <t>Pimento</t>
  </si>
  <si>
    <t>Ziele angielskie</t>
  </si>
  <si>
    <t>Перец душистый</t>
  </si>
  <si>
    <t>Muscat ground</t>
  </si>
  <si>
    <t>Gałka muszkatałowa miel.</t>
  </si>
  <si>
    <t>Мускатный орех, молотый</t>
  </si>
  <si>
    <t>Oregano</t>
  </si>
  <si>
    <t>Орегано</t>
  </si>
  <si>
    <t>Basil</t>
  </si>
  <si>
    <t>Bazylia</t>
  </si>
  <si>
    <t>Базилик</t>
  </si>
  <si>
    <t>Cinnamon mix.</t>
  </si>
  <si>
    <t>Cynamon</t>
  </si>
  <si>
    <t>Цинамон</t>
  </si>
  <si>
    <t>Curry</t>
  </si>
  <si>
    <t>Карри</t>
  </si>
  <si>
    <t>Garlic ground</t>
  </si>
  <si>
    <t>Czosnek mielony</t>
  </si>
  <si>
    <t>Чеснок молотый</t>
  </si>
  <si>
    <t>Grind paprica strong</t>
  </si>
  <si>
    <t>Papryka ostra miel.</t>
  </si>
  <si>
    <t>Красный перец острый молотый</t>
  </si>
  <si>
    <t>Grind paprica sweet</t>
  </si>
  <si>
    <t>Papryka słodka miel.</t>
  </si>
  <si>
    <t>Красный перец сладкий молотый</t>
  </si>
  <si>
    <t>Leaf of lauer</t>
  </si>
  <si>
    <t>Liść laurowy</t>
  </si>
  <si>
    <t>Лавровый лист</t>
  </si>
  <si>
    <t>Pepper - grain/powder</t>
  </si>
  <si>
    <t>Pieprz czarny miel/ziar</t>
  </si>
  <si>
    <t>Перец черный в зернах/молотый</t>
  </si>
  <si>
    <t>Caraway seeds</t>
  </si>
  <si>
    <t>Kminek</t>
  </si>
  <si>
    <t>Тмин</t>
  </si>
  <si>
    <t>Dill - dryed</t>
  </si>
  <si>
    <t>Koperek suszony</t>
  </si>
  <si>
    <t>Укроп сушеный</t>
  </si>
  <si>
    <t>Chilli</t>
  </si>
  <si>
    <t>Перец чили</t>
  </si>
  <si>
    <t>Cloves whole</t>
  </si>
  <si>
    <t>Goździki</t>
  </si>
  <si>
    <t>Гвоздика</t>
  </si>
  <si>
    <t>Boulion lump ox/chicken</t>
  </si>
  <si>
    <t>Rosół woł/drob. kostka</t>
  </si>
  <si>
    <t>Куриный бульон, кубики</t>
  </si>
  <si>
    <t>box</t>
  </si>
  <si>
    <t>Maggi - soup condiment</t>
  </si>
  <si>
    <t>Maggi przypr. do zup</t>
  </si>
  <si>
    <t>Магги в бутылке</t>
  </si>
  <si>
    <t>Vegeta Kucharek</t>
  </si>
  <si>
    <t>Kucharek - Vegeta</t>
  </si>
  <si>
    <t>Вегетта польская</t>
  </si>
  <si>
    <t xml:space="preserve">Vegeta  </t>
  </si>
  <si>
    <t>Vegeta</t>
  </si>
  <si>
    <t>Вегетта</t>
  </si>
  <si>
    <t>Ajinamotto</t>
  </si>
  <si>
    <t>Glutamian sodu</t>
  </si>
  <si>
    <t>Глютамат натрия</t>
  </si>
  <si>
    <t>Sauce for roast - inst.</t>
  </si>
  <si>
    <t>Sos pieczeniowy</t>
  </si>
  <si>
    <t>Соус для гриля</t>
  </si>
  <si>
    <t>1,2kg</t>
  </si>
  <si>
    <t>Broth beef instant</t>
  </si>
  <si>
    <t>rosol wolowy</t>
  </si>
  <si>
    <t>Говяжий бульон растворим.</t>
  </si>
  <si>
    <t>0,9kg</t>
  </si>
  <si>
    <t>Broth chicken instant</t>
  </si>
  <si>
    <t>Rosół z kury</t>
  </si>
  <si>
    <t>Куриный бульон растворим.</t>
  </si>
  <si>
    <t>Mushroom soup powder</t>
  </si>
  <si>
    <t>Zupa grzybowa w proszku</t>
  </si>
  <si>
    <t>грибной бульон</t>
  </si>
  <si>
    <t>1kg</t>
  </si>
  <si>
    <t>Broth beef chicken paste</t>
  </si>
  <si>
    <t>Rosół kurczakowo-wołowy - pasta</t>
  </si>
  <si>
    <t>курино -Говяжий бульон, паста</t>
  </si>
  <si>
    <t>Dry products</t>
  </si>
  <si>
    <t>Przetwory zboż.</t>
  </si>
  <si>
    <t>Крупы</t>
  </si>
  <si>
    <t xml:space="preserve">Nuddles, instant </t>
  </si>
  <si>
    <t>Zupki chińskie</t>
  </si>
  <si>
    <t>Макароны быстрого приготовления</t>
  </si>
  <si>
    <t>Semolina</t>
  </si>
  <si>
    <t>Kasza manna</t>
  </si>
  <si>
    <t>Манная крупа</t>
  </si>
  <si>
    <t>Rice</t>
  </si>
  <si>
    <t>Ryż</t>
  </si>
  <si>
    <t>Рис</t>
  </si>
  <si>
    <t>Shelled pea</t>
  </si>
  <si>
    <t>Groch łuskany</t>
  </si>
  <si>
    <t xml:space="preserve">Горох </t>
  </si>
  <si>
    <t>Barley groats</t>
  </si>
  <si>
    <t>Kasza pęczak</t>
  </si>
  <si>
    <t>Крупа перловая</t>
  </si>
  <si>
    <t>Macaroni assort.form</t>
  </si>
  <si>
    <t>Makarony różne kształty</t>
  </si>
  <si>
    <t>Спирали/рожки</t>
  </si>
  <si>
    <t>Oats flakes</t>
  </si>
  <si>
    <t>Platki owsiane</t>
  </si>
  <si>
    <t xml:space="preserve">Овсяные хлопья </t>
  </si>
  <si>
    <t>Spaghetti</t>
  </si>
  <si>
    <t>Спагетти</t>
  </si>
  <si>
    <t>Jasmine rice</t>
  </si>
  <si>
    <t>ryz jasminiowy</t>
  </si>
  <si>
    <t>рис жасминовый</t>
  </si>
  <si>
    <t>Buckwheat groats</t>
  </si>
  <si>
    <t>Kasza gryczana</t>
  </si>
  <si>
    <t>Гречневая крупа</t>
  </si>
  <si>
    <t>Potato flour</t>
  </si>
  <si>
    <t>Mąka ziemniaczana</t>
  </si>
  <si>
    <t>Крахмал-картофельная мука</t>
  </si>
  <si>
    <t>Vermischelle</t>
  </si>
  <si>
    <t>Вермишель</t>
  </si>
  <si>
    <t>Corn flakes</t>
  </si>
  <si>
    <t>Platki kukurydziane</t>
  </si>
  <si>
    <t>Хлопья кукурузные</t>
  </si>
  <si>
    <t>Maize groats</t>
  </si>
  <si>
    <t>Kasza kukurydziana</t>
  </si>
  <si>
    <t>Крупа кукурузная</t>
  </si>
  <si>
    <t>Millet</t>
  </si>
  <si>
    <t>Kasza jaglana</t>
  </si>
  <si>
    <t>Пшённая ка́ша</t>
  </si>
  <si>
    <t>White bean</t>
  </si>
  <si>
    <t>Fasola biała</t>
  </si>
  <si>
    <t>Белая фасоль</t>
  </si>
  <si>
    <t>Red bean</t>
  </si>
  <si>
    <t>Fasola czerwona</t>
  </si>
  <si>
    <t>Красная фасоль</t>
  </si>
  <si>
    <t>Total:</t>
  </si>
  <si>
    <t xml:space="preserve">Quantity </t>
  </si>
  <si>
    <t>Сметана 18% 1лтр</t>
  </si>
  <si>
    <t>Śmietana kwaśna 18% 1l</t>
  </si>
  <si>
    <t>Cream (sour) 18% 1ltr</t>
  </si>
  <si>
    <t>matros.consulting.group@gmail.com</t>
  </si>
  <si>
    <t xml:space="preserve">Петрушка зеленая маленьктй пучок </t>
  </si>
  <si>
    <t xml:space="preserve">Укроп маленьктй пучок </t>
  </si>
  <si>
    <t xml:space="preserve">Лук зеленый маленьктй пучок </t>
  </si>
  <si>
    <t xml:space="preserve">Редиска красная  маленьктй пучок </t>
  </si>
  <si>
    <t xml:space="preserve">Капуста белая </t>
  </si>
  <si>
    <t>Green parsley small</t>
  </si>
  <si>
    <t>Dill small</t>
  </si>
  <si>
    <t>Green onion small</t>
  </si>
  <si>
    <t>Sos Słodki chili 700ml</t>
  </si>
  <si>
    <t>Sauce sweet chili 700ml</t>
  </si>
  <si>
    <t xml:space="preserve">Oyster sauce </t>
  </si>
  <si>
    <t>Sos Ostrygowy  165</t>
  </si>
  <si>
    <t>Sauce sambal Oelek 200ml</t>
  </si>
  <si>
    <t xml:space="preserve">Sauce Tabasco </t>
  </si>
  <si>
    <t xml:space="preserve">Sos Tabasko </t>
  </si>
  <si>
    <t>Соус сладко-острый</t>
  </si>
  <si>
    <t>Соус остриговы</t>
  </si>
  <si>
    <t>Соус острый с паприкой</t>
  </si>
  <si>
    <t xml:space="preserve">Соус табаско </t>
  </si>
  <si>
    <t>Rice long</t>
  </si>
  <si>
    <t xml:space="preserve">Ryż długoziarnisty </t>
  </si>
  <si>
    <t>рис долгий</t>
  </si>
  <si>
    <t>Rise Basmati</t>
  </si>
  <si>
    <t xml:space="preserve">Ryz Basmati </t>
  </si>
  <si>
    <t xml:space="preserve">Рис басмати </t>
  </si>
  <si>
    <t>Горошек зеленый  суповой 400 gr</t>
  </si>
  <si>
    <t>Оливки черные маринованные 900 gr</t>
  </si>
  <si>
    <t>Oливки зеленые маринованные 900 gr</t>
  </si>
  <si>
    <t xml:space="preserve">Огурцы соленые, в ведерке </t>
  </si>
  <si>
    <t>Кетчуп 400gr</t>
  </si>
  <si>
    <t xml:space="preserve">Уксус </t>
  </si>
  <si>
    <t>Pomidory konserwowe całe 400gr</t>
  </si>
  <si>
    <t xml:space="preserve">Помидоры консервированные 400 gr </t>
  </si>
  <si>
    <t xml:space="preserve">Сало польское </t>
  </si>
  <si>
    <t>Ahmad Czarny</t>
  </si>
  <si>
    <t xml:space="preserve">Хрен / хрен со свеклой 190 gr </t>
  </si>
  <si>
    <t xml:space="preserve">Томатная паста 1000 gr </t>
  </si>
  <si>
    <t xml:space="preserve">Горчица  200 gr </t>
  </si>
  <si>
    <t xml:space="preserve">Свекла консервированная тертая 510 gr </t>
  </si>
  <si>
    <t xml:space="preserve">Кукуруза консерв. 340 gr </t>
  </si>
  <si>
    <t xml:space="preserve">Щавель консерв. 350 gr </t>
  </si>
  <si>
    <t xml:space="preserve">Шампиньоны маринованные 300 gr </t>
  </si>
  <si>
    <t xml:space="preserve">Соевый соус  150 ml </t>
  </si>
  <si>
    <t xml:space="preserve">Лечо 600 gr </t>
  </si>
  <si>
    <t xml:space="preserve">Уксус винный 500 ml </t>
  </si>
  <si>
    <t xml:space="preserve">Соус чили 200 gr </t>
  </si>
  <si>
    <t xml:space="preserve">Losos tusza </t>
  </si>
  <si>
    <t>Ketchup "Heinz" 490gr</t>
  </si>
  <si>
    <t>Кетчуп "Heinz"490gr</t>
  </si>
  <si>
    <t xml:space="preserve">Болгарский перец консерв. 700 gr </t>
  </si>
  <si>
    <t xml:space="preserve">"Мортоделла" </t>
  </si>
  <si>
    <t xml:space="preserve">Kawa mielona zwykla 500 gr </t>
  </si>
  <si>
    <t>Ahmad black</t>
  </si>
  <si>
    <t xml:space="preserve">Cream crackers  100gr </t>
  </si>
  <si>
    <t>Мед 400gr</t>
  </si>
  <si>
    <t>750ml</t>
  </si>
  <si>
    <t>Perscieni z kalmara panierowane</t>
  </si>
  <si>
    <t xml:space="preserve">Perscieni z kalmara </t>
  </si>
  <si>
    <t>Кальмары, кольца  панированый</t>
  </si>
  <si>
    <t>Squids-rings with breadcrumbs</t>
  </si>
  <si>
    <t>ogn.</t>
  </si>
  <si>
    <t xml:space="preserve">Rice paroboiled </t>
  </si>
  <si>
    <t>Ryż parob.</t>
  </si>
  <si>
    <t xml:space="preserve">Рис быстрого приготовленя </t>
  </si>
  <si>
    <t>Кальмары, тубы</t>
  </si>
  <si>
    <t>Овощная смесь на кампот</t>
  </si>
  <si>
    <t>Mixed vegetables DF 400gr</t>
  </si>
  <si>
    <t>Mieszanka warzywna mroż. 400gr</t>
  </si>
  <si>
    <t>Овощная смесь 400gr</t>
  </si>
  <si>
    <t>SOUR CREAM 18%  400 gr</t>
  </si>
  <si>
    <t xml:space="preserve">Śmietana kwaśna 18% 400 gr </t>
  </si>
  <si>
    <t xml:space="preserve">Сметана 18% 400 ml на борщ </t>
  </si>
  <si>
    <t>Cheese Królewski</t>
  </si>
  <si>
    <t>Ser Królewski</t>
  </si>
  <si>
    <t>Сыр "Королевский"</t>
  </si>
  <si>
    <t>BEFF REEBS</t>
  </si>
  <si>
    <t>Żeberka wolowe</t>
  </si>
  <si>
    <t>Ребра говяжии</t>
  </si>
  <si>
    <t xml:space="preserve">Батон белый </t>
  </si>
  <si>
    <t>WHITE LOAF</t>
  </si>
  <si>
    <t xml:space="preserve">Chłeb biały </t>
  </si>
  <si>
    <t>Ciasteczka owsiane</t>
  </si>
  <si>
    <t xml:space="preserve">OATMEAL BISCUITS </t>
  </si>
  <si>
    <t>Икра кабачковая</t>
  </si>
  <si>
    <t>Kawior z kabaczków</t>
  </si>
  <si>
    <t>Mortadela marynarska</t>
  </si>
  <si>
    <t>"Мортоделла Морска"  (как докторская)</t>
  </si>
  <si>
    <t>Mortadelle Marine</t>
  </si>
  <si>
    <t>Mortadela FIRMOWA</t>
  </si>
  <si>
    <t>Камбала свеж.туш.</t>
  </si>
  <si>
    <t xml:space="preserve">Serki batoniki </t>
  </si>
  <si>
    <t>Сырки глазированные</t>
  </si>
  <si>
    <t>Glazed curd bars</t>
  </si>
  <si>
    <t xml:space="preserve">ахмад черний 100 pcs  </t>
  </si>
  <si>
    <t xml:space="preserve">Сосиски 68% </t>
  </si>
  <si>
    <t xml:space="preserve">Кофе Nescafe Gold </t>
  </si>
  <si>
    <t xml:space="preserve">Айран </t>
  </si>
  <si>
    <t>Ayran</t>
  </si>
  <si>
    <t>Ayran , turkish style</t>
  </si>
  <si>
    <t>KOREAN CARROT</t>
  </si>
  <si>
    <t xml:space="preserve">Морковь по-корейски 350 gr </t>
  </si>
  <si>
    <t>Печенье овсяное c мёдом</t>
  </si>
  <si>
    <t xml:space="preserve">Ciasteczka maślane </t>
  </si>
  <si>
    <t>Печенье сливочное</t>
  </si>
  <si>
    <t xml:space="preserve">kg </t>
  </si>
  <si>
    <t>конфеты карамель</t>
  </si>
  <si>
    <t>Dżem malina</t>
  </si>
  <si>
    <t xml:space="preserve">Помидоры маринованные </t>
  </si>
  <si>
    <t xml:space="preserve">Pomidory marynowane </t>
  </si>
  <si>
    <t>Оливки черные маринованные 300 gr</t>
  </si>
  <si>
    <t xml:space="preserve">кабачковая икра  540 gr </t>
  </si>
  <si>
    <t>Опята маринованные 520 гр</t>
  </si>
  <si>
    <t xml:space="preserve">MILK CONDENSED WITH COCOA </t>
  </si>
  <si>
    <t>Cгущенное какао 380гр</t>
  </si>
  <si>
    <t xml:space="preserve">Майонез «Провансаль» Ряба  410 gr </t>
  </si>
  <si>
    <t xml:space="preserve">Помидоры малиновые </t>
  </si>
  <si>
    <t xml:space="preserve">Помидоры  </t>
  </si>
  <si>
    <t xml:space="preserve">Паштет свиной  300 gr </t>
  </si>
  <si>
    <t xml:space="preserve">Картофель немытый  </t>
  </si>
  <si>
    <t xml:space="preserve">1 pkg 15 kg </t>
  </si>
  <si>
    <t xml:space="preserve">1 pkg 6 kg </t>
  </si>
  <si>
    <t xml:space="preserve">Кофе молотый 500gr </t>
  </si>
  <si>
    <t>http://matrosconsultinggroup.pl/</t>
  </si>
  <si>
    <t>http://shipchandlerszczecin.pl/</t>
  </si>
  <si>
    <t xml:space="preserve">Свиная шейка б/к Extra </t>
  </si>
  <si>
    <t xml:space="preserve">Корейка свиная б/к Extra </t>
  </si>
  <si>
    <t xml:space="preserve">MARROW PASTE 340 gr </t>
  </si>
  <si>
    <t xml:space="preserve">Pork shoulder - boneless Extra </t>
  </si>
  <si>
    <t xml:space="preserve">Łopatka b/k Extra </t>
  </si>
  <si>
    <t xml:space="preserve">Свиная лопатка б/к  Extra </t>
  </si>
  <si>
    <t xml:space="preserve">Свиная шейка б/к </t>
  </si>
  <si>
    <t xml:space="preserve">Корейка свиная б/к </t>
  </si>
  <si>
    <t>Фарш говяжий  Extra</t>
  </si>
  <si>
    <t xml:space="preserve">Говядина шейная часть Extra </t>
  </si>
  <si>
    <t xml:space="preserve">Говядина шейная часть </t>
  </si>
  <si>
    <t xml:space="preserve">Лопатка говяжья б/к Extra </t>
  </si>
  <si>
    <t xml:space="preserve">Картофель молодой   </t>
  </si>
  <si>
    <t xml:space="preserve">Avocado </t>
  </si>
  <si>
    <t>TATAR WOLOWY</t>
  </si>
  <si>
    <t>BEEF TARTARE</t>
  </si>
  <si>
    <t>ТАРТАР ИЗ ГОВЯДИНЫ</t>
  </si>
  <si>
    <t>200gr</t>
  </si>
  <si>
    <t xml:space="preserve">Oil extra virgin </t>
  </si>
  <si>
    <t>Масло холодного отжима</t>
  </si>
  <si>
    <t>BREAD HAMBURGER</t>
  </si>
  <si>
    <t xml:space="preserve">Bułki Hamburger </t>
  </si>
  <si>
    <t xml:space="preserve">Булочки для гамбургеров </t>
  </si>
  <si>
    <t>BREAD HOT DOG ROLL</t>
  </si>
  <si>
    <t xml:space="preserve">Buiłki do Hot-dogów </t>
  </si>
  <si>
    <t xml:space="preserve">Булочки для Hot dogov  </t>
  </si>
  <si>
    <t>HIT - CIASTKA CZEKOLADOWE 220G</t>
  </si>
  <si>
    <t>ХИТ - CIASTKA CZEKOLADOWE 220G</t>
  </si>
  <si>
    <t>KIELBASA FUET</t>
  </si>
  <si>
    <t xml:space="preserve">КОЛБАСА ФУЭТ(италянская сухая ) </t>
  </si>
  <si>
    <t>SAUSAGE FUET</t>
  </si>
  <si>
    <t>BACON SMOKED IN SLICES</t>
  </si>
  <si>
    <t>BOCZEK WEDZONY W PLASTRACH</t>
  </si>
  <si>
    <t xml:space="preserve">БЕКОН, КОПЧЕНЫЙ НАРЕЗАНЫЙ </t>
  </si>
  <si>
    <t xml:space="preserve">Вареники Картошка лук </t>
  </si>
  <si>
    <t>Вареники картошка грибы</t>
  </si>
  <si>
    <t xml:space="preserve">Вареники мясные </t>
  </si>
  <si>
    <t xml:space="preserve">Pierogi z ziemniaków </t>
  </si>
  <si>
    <t xml:space="preserve">pierogi z pieczrjami </t>
  </si>
  <si>
    <t xml:space="preserve">Pierogi mięso </t>
  </si>
  <si>
    <t>Potato dumplings</t>
  </si>
  <si>
    <t>dumplings with roasts</t>
  </si>
  <si>
    <t>Meat dumplings</t>
  </si>
  <si>
    <t>Сливки для кофе без сахара 7% 300ml</t>
  </si>
  <si>
    <t xml:space="preserve">Dżem czrna porzeczka 300 gr </t>
  </si>
  <si>
    <t xml:space="preserve">Dżem wiśniowy 300 gr </t>
  </si>
  <si>
    <t xml:space="preserve">Dżem brzoskwiniowy 300 gr </t>
  </si>
  <si>
    <t xml:space="preserve">Dżem truskawkowy 300 gr </t>
  </si>
  <si>
    <t xml:space="preserve">Dżem ananasowy 300 gr </t>
  </si>
  <si>
    <t xml:space="preserve">Powidła śliwkowe 300 gr </t>
  </si>
  <si>
    <t>mięta</t>
  </si>
  <si>
    <t>mint</t>
  </si>
  <si>
    <t>Herbata EarlGrey  /75pkt</t>
  </si>
  <si>
    <t>Earl grey tea   / 75pkt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</si>
</sst>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  <charset val="238"/>
    </font>
    <font>
      <sz val="10"/>
      <name val="Times New Roman"/>
      <family val="1"/>
      <charset val="238"/>
    </font>
    <font>
      <i/>
      <sz val="10"/>
      <name val="Times New Roman"/>
      <family val="1"/>
      <charset val="238"/>
    </font>
    <font>
      <sz val="10"/>
      <name val="Arial"/>
      <family val="2"/>
      <charset val="238"/>
    </font>
    <font>
      <sz val="10"/>
      <name val="Arial Unicode MS"/>
      <family val="2"/>
      <charset val="204"/>
    </font>
    <font>
      <b/>
      <sz val="10"/>
      <color theme="1"/>
      <name val="Calibri"/>
      <family val="2"/>
      <charset val="238"/>
      <scheme val="minor"/>
    </font>
    <font>
      <b/>
      <i/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sz val="9"/>
      <name val="Times New Roman"/>
      <family val="1"/>
      <charset val="238"/>
    </font>
    <font>
      <sz val="10"/>
      <color theme="1"/>
      <name val="Times New Roman"/>
      <family val="1"/>
      <charset val="238"/>
    </font>
    <font>
      <i/>
      <sz val="10"/>
      <color theme="1"/>
      <name val="Times New Roman"/>
      <family val="1"/>
      <charset val="238"/>
    </font>
    <font>
      <b/>
      <i/>
      <sz val="10"/>
      <color theme="1"/>
      <name val="Times New Roman"/>
      <family val="1"/>
      <charset val="238"/>
    </font>
    <font>
      <b/>
      <i/>
      <sz val="14"/>
      <name val="Times New Roman"/>
      <family val="1"/>
      <charset val="238"/>
    </font>
    <font>
      <sz val="11"/>
      <name val="Arial CE"/>
      <family val="2"/>
      <charset val="238"/>
    </font>
    <font>
      <sz val="10"/>
      <color theme="1"/>
      <name val="Arial CE"/>
      <family val="2"/>
      <charset val="238"/>
    </font>
    <font>
      <i/>
      <sz val="11"/>
      <color theme="1"/>
      <name val="Arial CE"/>
      <charset val="238"/>
    </font>
    <font>
      <i/>
      <sz val="8"/>
      <name val="Times New Roman"/>
      <family val="1"/>
      <charset val="238"/>
    </font>
    <font>
      <sz val="8"/>
      <name val="Times New Roman"/>
      <family val="1"/>
      <charset val="238"/>
    </font>
    <font>
      <sz val="8"/>
      <color theme="1"/>
      <name val="Times New Roman"/>
      <family val="1"/>
      <charset val="238"/>
    </font>
    <font>
      <b/>
      <sz val="14"/>
      <color theme="1"/>
      <name val="Calibri"/>
      <family val="2"/>
      <charset val="238"/>
      <scheme val="minor"/>
    </font>
    <font>
      <sz val="10"/>
      <color rgb="FFFF0000"/>
      <name val="Times New Roman"/>
      <family val="1"/>
      <charset val="238"/>
    </font>
    <font>
      <i/>
      <sz val="10"/>
      <color rgb="FFFF0000"/>
      <name val="Times New Roman"/>
      <family val="1"/>
      <charset val="238"/>
    </font>
    <font>
      <sz val="10"/>
      <color rgb="FFFF0000"/>
      <name val="Arial CE"/>
      <family val="2"/>
      <charset val="238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0" fontId="11" fillId="0" borderId="0"/>
  </cellStyleXfs>
  <cellXfs count="52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0" fillId="0" borderId="0" xfId="2" applyFont="1"/>
    <xf numFmtId="0" fontId="8" fillId="0" borderId="1" xfId="2" applyFont="1" applyBorder="1" applyAlignment="1">
      <alignment horizontal="center"/>
    </xf>
    <xf numFmtId="0" fontId="5" fillId="0" borderId="1" xfId="0" applyFont="1" applyBorder="1"/>
    <xf numFmtId="0" fontId="8" fillId="0" borderId="1" xfId="0" applyFont="1" applyBorder="1"/>
    <xf numFmtId="0" fontId="19" fillId="0" borderId="1" xfId="2" applyFont="1" applyBorder="1" applyAlignment="1">
      <alignment horizontal="center"/>
    </xf>
    <xf numFmtId="0" fontId="8" fillId="0" borderId="1" xfId="2" applyFont="1" applyBorder="1"/>
    <xf numFmtId="0" fontId="7" fillId="0" borderId="0" xfId="0" applyFont="1"/>
    <xf numFmtId="0" fontId="9" fillId="0" borderId="0" xfId="2" applyFont="1"/>
    <xf numFmtId="0" fontId="10" fillId="0" borderId="0" xfId="2" applyFont="1"/>
    <xf numFmtId="0" fontId="13" fillId="0" borderId="1" xfId="0" applyFont="1" applyBorder="1"/>
    <xf numFmtId="0" fontId="15" fillId="0" borderId="1" xfId="2" applyFont="1" applyBorder="1"/>
    <xf numFmtId="0" fontId="14" fillId="0" borderId="1" xfId="2" applyFont="1" applyBorder="1"/>
    <xf numFmtId="0" fontId="16" fillId="0" borderId="0" xfId="2" applyFont="1"/>
    <xf numFmtId="0" fontId="22" fillId="0" borderId="0" xfId="0" applyFont="1" applyAlignment="1">
      <alignment horizontal="left"/>
    </xf>
    <xf numFmtId="0" fontId="22" fillId="0" borderId="0" xfId="0" applyFont="1"/>
    <xf numFmtId="0" fontId="23" fillId="0" borderId="0" xfId="0" applyFont="1"/>
    <xf numFmtId="0" fontId="17" fillId="0" borderId="0" xfId="2" applyFont="1"/>
    <xf numFmtId="0" fontId="9" fillId="2" borderId="0" xfId="2" applyFont="1" applyFill="1"/>
    <xf numFmtId="0" fontId="10" fillId="2" borderId="0" xfId="2" applyFont="1" applyFill="1"/>
    <xf numFmtId="0" fontId="24" fillId="0" borderId="0" xfId="2" applyFont="1"/>
    <xf numFmtId="0" fontId="25" fillId="0" borderId="0" xfId="2" applyFont="1"/>
    <xf numFmtId="0" fontId="21" fillId="0" borderId="0" xfId="0" applyFont="1"/>
    <xf numFmtId="0" fontId="5" fillId="0" borderId="0" xfId="0" applyFont="1"/>
    <xf numFmtId="0" fontId="18" fillId="0" borderId="0" xfId="2" applyFont="1"/>
    <xf numFmtId="0" fontId="17" fillId="0" borderId="0" xfId="0" applyFont="1"/>
    <xf numFmtId="0" fontId="9" fillId="0" borderId="0" xfId="0" applyFont="1"/>
    <xf numFmtId="0" fontId="22" fillId="0" borderId="0" xfId="0" applyFont="1" applyAlignment="1">
      <alignment horizontal="center"/>
    </xf>
    <xf numFmtId="0" fontId="9" fillId="0" borderId="0" xfId="2" applyFont="1" applyAlignment="1">
      <alignment horizontal="center"/>
    </xf>
    <xf numFmtId="0" fontId="9" fillId="2" borderId="0" xfId="2" applyFont="1" applyFill="1" applyAlignment="1">
      <alignment horizontal="center"/>
    </xf>
    <xf numFmtId="2" fontId="9" fillId="0" borderId="0" xfId="3" applyNumberFormat="1" applyFont="1" applyAlignment="1">
      <alignment horizontal="center"/>
    </xf>
    <xf numFmtId="0" fontId="10" fillId="0" borderId="0" xfId="2" applyFont="1" applyAlignment="1">
      <alignment horizontal="center"/>
    </xf>
    <xf numFmtId="0" fontId="17" fillId="0" borderId="0" xfId="2" applyFont="1" applyAlignment="1">
      <alignment horizontal="center"/>
    </xf>
    <xf numFmtId="2" fontId="12" fillId="0" borderId="0" xfId="3" applyNumberFormat="1" applyFont="1" applyAlignment="1">
      <alignment horizontal="center"/>
    </xf>
    <xf numFmtId="2" fontId="12" fillId="0" borderId="0" xfId="2" applyNumberFormat="1" applyFont="1" applyAlignment="1">
      <alignment horizontal="center"/>
    </xf>
    <xf numFmtId="2" fontId="22" fillId="0" borderId="0" xfId="0" applyNumberFormat="1" applyFont="1" applyAlignment="1">
      <alignment horizontal="center"/>
    </xf>
    <xf numFmtId="2" fontId="9" fillId="0" borderId="0" xfId="2" applyNumberFormat="1" applyFont="1" applyAlignment="1">
      <alignment horizontal="center"/>
    </xf>
    <xf numFmtId="2" fontId="17" fillId="0" borderId="0" xfId="2" applyNumberFormat="1" applyFont="1" applyAlignment="1">
      <alignment horizontal="center"/>
    </xf>
    <xf numFmtId="0" fontId="26" fillId="0" borderId="0" xfId="2" applyFont="1"/>
    <xf numFmtId="0" fontId="1" fillId="0" borderId="0" xfId="0" applyFont="1"/>
    <xf numFmtId="0" fontId="27" fillId="0" borderId="0" xfId="0" applyFont="1"/>
    <xf numFmtId="0" fontId="4" fillId="0" borderId="0" xfId="1"/>
    <xf numFmtId="0" fontId="4" fillId="0" borderId="0" xfId="1" applyFill="1" applyBorder="1" applyAlignment="1">
      <alignment horizontal="left"/>
    </xf>
    <xf numFmtId="0" fontId="28" fillId="0" borderId="0" xfId="2" applyFont="1"/>
    <xf numFmtId="0" fontId="29" fillId="0" borderId="0" xfId="2" applyFont="1"/>
    <xf numFmtId="0" fontId="30" fillId="0" borderId="0" xfId="0" applyFont="1" applyAlignment="1">
      <alignment horizontal="center"/>
    </xf>
    <xf numFmtId="2" fontId="28" fillId="0" borderId="0" xfId="3" applyNumberFormat="1" applyFont="1" applyAlignment="1">
      <alignment horizontal="center"/>
    </xf>
    <xf numFmtId="2" fontId="0" fillId="0" borderId="0" xfId="0" applyNumberFormat="1"/>
    <xf numFmtId="0" fontId="31" fillId="0" borderId="1" xfId="0" applyFont="1" applyBorder="1"/>
    <xf numFmtId="0" fontId="4" fillId="0" borderId="0" xfId="1" applyAlignment="1">
      <alignment horizontal="left"/>
    </xf>
  </cellXfs>
  <cellStyles count="4">
    <cellStyle name="Normalny 2" xfId="2"/>
    <cellStyle name="Normalny 3" xfId="3"/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76200</xdr:rowOff>
    </xdr:from>
    <xdr:to>
      <xdr:col>1</xdr:col>
      <xdr:colOff>1990725</xdr:colOff>
      <xdr:row>7</xdr:row>
      <xdr:rowOff>23201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B2E49305-31B6-4692-851A-2922DEF3F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76200"/>
          <a:ext cx="1733550" cy="1318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hipchandlerszczecin.pl/" TargetMode="External"/><Relationship Id="rId2" Type="http://schemas.openxmlformats.org/officeDocument/2006/relationships/hyperlink" Target="http://matrosconsultinggroup.pl/" TargetMode="External"/><Relationship Id="rId1" Type="http://schemas.openxmlformats.org/officeDocument/2006/relationships/hyperlink" Target="mailto:matros.consulting.group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85"/>
  <sheetViews>
    <sheetView tabSelected="1" view="pageBreakPreview" topLeftCell="C393" zoomScale="205" zoomScaleNormal="100" zoomScaleSheetLayoutView="205" workbookViewId="0">
      <selection activeCell="G403" sqref="G403"/>
    </sheetView>
  </sheetViews>
  <sheetFormatPr defaultRowHeight="15"/>
  <cols>
    <col min="1" max="1" width="4.7109375" customWidth="1"/>
    <col min="2" max="2" width="30" bestFit="1" customWidth="1"/>
    <col min="3" max="3" width="27.7109375" customWidth="1"/>
    <col min="4" max="4" width="34.85546875" customWidth="1"/>
    <col min="5" max="5" width="3.7109375" customWidth="1"/>
    <col min="6" max="6" width="8.7109375" customWidth="1"/>
  </cols>
  <sheetData>
    <row r="2" spans="1:9" ht="15.75">
      <c r="C2" s="1" t="s">
        <v>70</v>
      </c>
    </row>
    <row r="3" spans="1:9" ht="15.75">
      <c r="C3" s="2" t="s">
        <v>71</v>
      </c>
    </row>
    <row r="4" spans="1:9" ht="15.75">
      <c r="C4" s="2" t="s">
        <v>0</v>
      </c>
    </row>
    <row r="5" spans="1:9" ht="15.75">
      <c r="C5" s="2" t="s">
        <v>1</v>
      </c>
    </row>
    <row r="6" spans="1:9">
      <c r="C6" s="51" t="s">
        <v>1160</v>
      </c>
      <c r="D6" s="51"/>
    </row>
    <row r="7" spans="1:9">
      <c r="C7" s="44" t="s">
        <v>1283</v>
      </c>
    </row>
    <row r="8" spans="1:9">
      <c r="C8" s="43" t="s">
        <v>1284</v>
      </c>
    </row>
    <row r="10" spans="1:9" ht="15" customHeight="1">
      <c r="A10" s="8">
        <v>1</v>
      </c>
      <c r="B10" s="8" t="s">
        <v>2</v>
      </c>
      <c r="C10" s="4" t="s">
        <v>3</v>
      </c>
      <c r="D10" s="4" t="s">
        <v>4</v>
      </c>
      <c r="E10" s="5" t="s">
        <v>73</v>
      </c>
      <c r="F10" s="5" t="s">
        <v>74</v>
      </c>
      <c r="G10" s="50"/>
      <c r="H10" t="s">
        <v>1156</v>
      </c>
    </row>
    <row r="11" spans="1:9">
      <c r="A11" s="9">
        <v>1</v>
      </c>
      <c r="B11" s="10" t="s">
        <v>5</v>
      </c>
      <c r="C11" s="10" t="s">
        <v>28</v>
      </c>
      <c r="D11" s="11" t="s">
        <v>50</v>
      </c>
      <c r="E11" s="29" t="s">
        <v>72</v>
      </c>
      <c r="F11" s="35">
        <v>3.85</v>
      </c>
      <c r="G11">
        <f xml:space="preserve"> F11*I11</f>
        <v>0</v>
      </c>
      <c r="H11" s="49"/>
      <c r="I11">
        <v>0</v>
      </c>
    </row>
    <row r="12" spans="1:9">
      <c r="A12" s="9">
        <v>2</v>
      </c>
      <c r="B12" s="10" t="s">
        <v>6</v>
      </c>
      <c r="C12" s="10" t="s">
        <v>29</v>
      </c>
      <c r="D12" s="11" t="s">
        <v>51</v>
      </c>
      <c r="E12" s="29" t="s">
        <v>72</v>
      </c>
      <c r="F12" s="35">
        <v>3.19</v>
      </c>
      <c r="G12">
        <f t="shared" ref="G12:G74" si="0" xml:space="preserve"> F12*I12</f>
        <v>0</v>
      </c>
      <c r="H12" s="49"/>
      <c r="I12">
        <f t="shared" ref="I12:I74" si="1">H12*F12</f>
        <v>0</v>
      </c>
    </row>
    <row r="13" spans="1:9">
      <c r="A13" s="9">
        <v>3</v>
      </c>
      <c r="B13" s="10" t="s">
        <v>7</v>
      </c>
      <c r="C13" s="10" t="s">
        <v>30</v>
      </c>
      <c r="D13" s="11" t="s">
        <v>52</v>
      </c>
      <c r="E13" s="29" t="s">
        <v>72</v>
      </c>
      <c r="F13" s="35">
        <v>3.67</v>
      </c>
      <c r="G13">
        <f t="shared" si="0"/>
        <v>0</v>
      </c>
      <c r="H13" s="49"/>
      <c r="I13">
        <f t="shared" si="1"/>
        <v>0</v>
      </c>
    </row>
    <row r="14" spans="1:9">
      <c r="A14" s="9">
        <v>4</v>
      </c>
      <c r="B14" s="10" t="s">
        <v>8</v>
      </c>
      <c r="C14" s="10" t="s">
        <v>31</v>
      </c>
      <c r="D14" s="11" t="s">
        <v>53</v>
      </c>
      <c r="E14" s="29" t="s">
        <v>72</v>
      </c>
      <c r="F14" s="35">
        <v>3.67</v>
      </c>
      <c r="G14">
        <f t="shared" si="0"/>
        <v>0</v>
      </c>
      <c r="H14" s="49"/>
      <c r="I14">
        <f t="shared" si="1"/>
        <v>0</v>
      </c>
    </row>
    <row r="15" spans="1:9">
      <c r="A15" s="9">
        <v>5</v>
      </c>
      <c r="B15" s="10" t="s">
        <v>9</v>
      </c>
      <c r="C15" s="10" t="s">
        <v>32</v>
      </c>
      <c r="D15" s="11" t="s">
        <v>54</v>
      </c>
      <c r="E15" s="29" t="s">
        <v>72</v>
      </c>
      <c r="F15" s="35">
        <v>3.67</v>
      </c>
      <c r="G15">
        <f t="shared" si="0"/>
        <v>0</v>
      </c>
      <c r="H15" s="49"/>
      <c r="I15">
        <f t="shared" si="1"/>
        <v>0</v>
      </c>
    </row>
    <row r="16" spans="1:9">
      <c r="A16" s="9">
        <v>6</v>
      </c>
      <c r="B16" s="10" t="s">
        <v>10</v>
      </c>
      <c r="C16" s="10" t="s">
        <v>33</v>
      </c>
      <c r="D16" s="11" t="s">
        <v>1194</v>
      </c>
      <c r="E16" s="29" t="s">
        <v>72</v>
      </c>
      <c r="F16" s="35">
        <v>3.54</v>
      </c>
      <c r="G16">
        <f t="shared" si="0"/>
        <v>0</v>
      </c>
      <c r="H16" s="49"/>
      <c r="I16">
        <v>0</v>
      </c>
    </row>
    <row r="17" spans="1:9">
      <c r="A17" s="9">
        <v>7</v>
      </c>
      <c r="B17" s="10" t="s">
        <v>11</v>
      </c>
      <c r="C17" s="10" t="s">
        <v>34</v>
      </c>
      <c r="D17" s="11" t="s">
        <v>55</v>
      </c>
      <c r="E17" s="29" t="s">
        <v>72</v>
      </c>
      <c r="F17" s="35">
        <v>4.51</v>
      </c>
      <c r="G17">
        <f t="shared" si="0"/>
        <v>0</v>
      </c>
      <c r="H17" s="49"/>
      <c r="I17">
        <v>0</v>
      </c>
    </row>
    <row r="18" spans="1:9">
      <c r="A18" s="9">
        <v>8</v>
      </c>
      <c r="B18" s="10" t="s">
        <v>12</v>
      </c>
      <c r="C18" s="10" t="s">
        <v>35</v>
      </c>
      <c r="D18" s="11" t="s">
        <v>56</v>
      </c>
      <c r="E18" s="29" t="s">
        <v>72</v>
      </c>
      <c r="F18" s="35">
        <v>5.49</v>
      </c>
      <c r="G18">
        <f t="shared" si="0"/>
        <v>0</v>
      </c>
      <c r="H18" s="49"/>
      <c r="I18">
        <f t="shared" si="1"/>
        <v>0</v>
      </c>
    </row>
    <row r="19" spans="1:9">
      <c r="A19" s="9">
        <v>9</v>
      </c>
      <c r="B19" s="10" t="s">
        <v>13</v>
      </c>
      <c r="C19" s="10" t="s">
        <v>36</v>
      </c>
      <c r="D19" s="11" t="s">
        <v>57</v>
      </c>
      <c r="E19" s="29" t="s">
        <v>72</v>
      </c>
      <c r="F19" s="35">
        <v>0</v>
      </c>
      <c r="G19">
        <f t="shared" si="0"/>
        <v>0</v>
      </c>
      <c r="H19" s="49"/>
      <c r="I19">
        <f t="shared" si="1"/>
        <v>0</v>
      </c>
    </row>
    <row r="20" spans="1:9">
      <c r="A20" s="9">
        <v>10</v>
      </c>
      <c r="B20" s="10" t="s">
        <v>14</v>
      </c>
      <c r="C20" s="10" t="s">
        <v>37</v>
      </c>
      <c r="D20" s="11" t="s">
        <v>58</v>
      </c>
      <c r="E20" s="29" t="s">
        <v>72</v>
      </c>
      <c r="F20" s="35">
        <v>6.85</v>
      </c>
      <c r="G20">
        <f t="shared" si="0"/>
        <v>0</v>
      </c>
      <c r="H20" s="49"/>
      <c r="I20">
        <f t="shared" si="1"/>
        <v>0</v>
      </c>
    </row>
    <row r="21" spans="1:9">
      <c r="A21" s="9"/>
      <c r="B21" s="10" t="s">
        <v>1288</v>
      </c>
      <c r="C21" s="10" t="s">
        <v>1289</v>
      </c>
      <c r="D21" s="11" t="s">
        <v>1290</v>
      </c>
      <c r="E21" s="29" t="s">
        <v>72</v>
      </c>
      <c r="F21" s="35">
        <v>7.33</v>
      </c>
      <c r="G21">
        <f t="shared" si="0"/>
        <v>0</v>
      </c>
      <c r="H21" s="49"/>
      <c r="I21">
        <f t="shared" si="1"/>
        <v>0</v>
      </c>
    </row>
    <row r="22" spans="1:9">
      <c r="A22" s="9">
        <v>11</v>
      </c>
      <c r="B22" s="10" t="s">
        <v>15</v>
      </c>
      <c r="C22" s="10" t="s">
        <v>38</v>
      </c>
      <c r="D22" s="11" t="s">
        <v>59</v>
      </c>
      <c r="E22" s="29" t="s">
        <v>72</v>
      </c>
      <c r="F22" s="35">
        <v>6.59</v>
      </c>
      <c r="G22">
        <f t="shared" si="0"/>
        <v>79.08</v>
      </c>
      <c r="H22" s="49"/>
      <c r="I22">
        <v>12</v>
      </c>
    </row>
    <row r="23" spans="1:9">
      <c r="A23" s="9">
        <v>12</v>
      </c>
      <c r="B23" s="10" t="s">
        <v>16</v>
      </c>
      <c r="C23" s="10" t="s">
        <v>39</v>
      </c>
      <c r="D23" s="11" t="s">
        <v>60</v>
      </c>
      <c r="E23" s="29" t="s">
        <v>72</v>
      </c>
      <c r="F23" s="35">
        <v>7.21</v>
      </c>
      <c r="G23">
        <f t="shared" si="0"/>
        <v>0</v>
      </c>
      <c r="H23" s="49"/>
      <c r="I23">
        <f t="shared" si="1"/>
        <v>0</v>
      </c>
    </row>
    <row r="24" spans="1:9">
      <c r="A24" s="9">
        <v>13</v>
      </c>
      <c r="B24" s="10" t="s">
        <v>17</v>
      </c>
      <c r="C24" s="10" t="s">
        <v>40</v>
      </c>
      <c r="D24" s="11" t="s">
        <v>61</v>
      </c>
      <c r="E24" s="29" t="s">
        <v>72</v>
      </c>
      <c r="F24" s="35">
        <v>7.19</v>
      </c>
      <c r="G24">
        <f t="shared" si="0"/>
        <v>0</v>
      </c>
      <c r="H24" s="49"/>
      <c r="I24">
        <f t="shared" si="1"/>
        <v>0</v>
      </c>
    </row>
    <row r="25" spans="1:9">
      <c r="A25" s="9">
        <v>14</v>
      </c>
      <c r="B25" s="10" t="s">
        <v>18</v>
      </c>
      <c r="C25" s="10" t="s">
        <v>41</v>
      </c>
      <c r="D25" s="11" t="s">
        <v>62</v>
      </c>
      <c r="E25" s="29" t="s">
        <v>72</v>
      </c>
      <c r="F25" s="35">
        <v>7.1</v>
      </c>
      <c r="G25">
        <f t="shared" si="0"/>
        <v>0</v>
      </c>
      <c r="H25" s="49"/>
      <c r="I25">
        <f t="shared" si="1"/>
        <v>0</v>
      </c>
    </row>
    <row r="26" spans="1:9">
      <c r="A26" s="9">
        <v>15</v>
      </c>
      <c r="B26" s="10" t="s">
        <v>19</v>
      </c>
      <c r="C26" s="10" t="s">
        <v>42</v>
      </c>
      <c r="D26" s="11" t="s">
        <v>63</v>
      </c>
      <c r="E26" s="29" t="s">
        <v>72</v>
      </c>
      <c r="F26" s="35">
        <v>8.33</v>
      </c>
      <c r="G26">
        <f t="shared" si="0"/>
        <v>0</v>
      </c>
      <c r="H26" s="49"/>
      <c r="I26">
        <f t="shared" si="1"/>
        <v>0</v>
      </c>
    </row>
    <row r="27" spans="1:9">
      <c r="A27" s="9">
        <v>16</v>
      </c>
      <c r="B27" s="10" t="s">
        <v>20</v>
      </c>
      <c r="C27" s="10" t="s">
        <v>43</v>
      </c>
      <c r="D27" s="11" t="s">
        <v>1291</v>
      </c>
      <c r="E27" s="29" t="s">
        <v>72</v>
      </c>
      <c r="F27" s="35">
        <v>7.75</v>
      </c>
      <c r="G27">
        <f t="shared" si="0"/>
        <v>93</v>
      </c>
      <c r="H27" s="49"/>
      <c r="I27">
        <v>12</v>
      </c>
    </row>
    <row r="28" spans="1:9">
      <c r="A28" s="9"/>
      <c r="B28" s="10" t="s">
        <v>20</v>
      </c>
      <c r="C28" s="10" t="s">
        <v>43</v>
      </c>
      <c r="D28" s="11" t="s">
        <v>1285</v>
      </c>
      <c r="E28" s="29" t="s">
        <v>72</v>
      </c>
      <c r="F28" s="35">
        <v>8.5</v>
      </c>
      <c r="G28">
        <f t="shared" si="0"/>
        <v>0</v>
      </c>
      <c r="H28" s="49"/>
      <c r="I28">
        <f t="shared" si="1"/>
        <v>0</v>
      </c>
    </row>
    <row r="29" spans="1:9">
      <c r="A29" s="9">
        <v>17</v>
      </c>
      <c r="B29" s="10" t="s">
        <v>21</v>
      </c>
      <c r="C29" s="10" t="s">
        <v>44</v>
      </c>
      <c r="D29" s="11" t="s">
        <v>64</v>
      </c>
      <c r="E29" s="29" t="s">
        <v>72</v>
      </c>
      <c r="F29" s="36">
        <v>9.14</v>
      </c>
      <c r="G29">
        <f t="shared" si="0"/>
        <v>63.980000000000004</v>
      </c>
      <c r="H29" s="49"/>
      <c r="I29">
        <v>7</v>
      </c>
    </row>
    <row r="30" spans="1:9">
      <c r="A30" s="9">
        <v>18</v>
      </c>
      <c r="B30" s="10" t="s">
        <v>22</v>
      </c>
      <c r="C30" s="10" t="s">
        <v>45</v>
      </c>
      <c r="D30" s="11" t="s">
        <v>1292</v>
      </c>
      <c r="E30" s="29" t="s">
        <v>72</v>
      </c>
      <c r="F30" s="35">
        <v>7.75</v>
      </c>
      <c r="G30">
        <f t="shared" si="0"/>
        <v>77.5</v>
      </c>
      <c r="H30" s="49"/>
      <c r="I30">
        <v>10</v>
      </c>
    </row>
    <row r="31" spans="1:9">
      <c r="A31" s="9"/>
      <c r="B31" s="10" t="s">
        <v>22</v>
      </c>
      <c r="C31" s="10" t="s">
        <v>45</v>
      </c>
      <c r="D31" s="11" t="s">
        <v>1286</v>
      </c>
      <c r="E31" s="29" t="s">
        <v>72</v>
      </c>
      <c r="F31" s="35">
        <v>8.5</v>
      </c>
      <c r="G31">
        <f t="shared" si="0"/>
        <v>0</v>
      </c>
      <c r="H31" s="49"/>
      <c r="I31">
        <f t="shared" si="1"/>
        <v>0</v>
      </c>
    </row>
    <row r="32" spans="1:9">
      <c r="A32" s="9">
        <v>19</v>
      </c>
      <c r="B32" s="10" t="s">
        <v>23</v>
      </c>
      <c r="C32" s="10" t="s">
        <v>46</v>
      </c>
      <c r="D32" s="11" t="s">
        <v>65</v>
      </c>
      <c r="E32" s="29" t="s">
        <v>72</v>
      </c>
      <c r="F32" s="35">
        <v>9.2100000000000009</v>
      </c>
      <c r="G32">
        <f t="shared" si="0"/>
        <v>0</v>
      </c>
      <c r="H32" s="49"/>
      <c r="I32">
        <f t="shared" si="1"/>
        <v>0</v>
      </c>
    </row>
    <row r="33" spans="1:9">
      <c r="A33" s="9">
        <v>20</v>
      </c>
      <c r="B33" s="10" t="s">
        <v>78</v>
      </c>
      <c r="C33" s="10" t="s">
        <v>79</v>
      </c>
      <c r="D33" s="11" t="s">
        <v>80</v>
      </c>
      <c r="E33" s="29" t="s">
        <v>72</v>
      </c>
      <c r="F33" s="35">
        <v>8.2200000000000006</v>
      </c>
      <c r="G33">
        <f t="shared" si="0"/>
        <v>0</v>
      </c>
      <c r="H33" s="49"/>
      <c r="I33">
        <v>0</v>
      </c>
    </row>
    <row r="34" spans="1:9">
      <c r="A34" s="9">
        <v>21</v>
      </c>
      <c r="B34" s="10" t="s">
        <v>24</v>
      </c>
      <c r="C34" s="10" t="s">
        <v>47</v>
      </c>
      <c r="D34" s="11" t="s">
        <v>66</v>
      </c>
      <c r="E34" s="29" t="s">
        <v>72</v>
      </c>
      <c r="F34" s="35">
        <v>6.97</v>
      </c>
      <c r="G34">
        <f t="shared" si="0"/>
        <v>0</v>
      </c>
      <c r="H34" s="49"/>
      <c r="I34">
        <f t="shared" si="1"/>
        <v>0</v>
      </c>
    </row>
    <row r="35" spans="1:9">
      <c r="A35" s="9">
        <v>22</v>
      </c>
      <c r="B35" s="10" t="s">
        <v>25</v>
      </c>
      <c r="C35" s="10" t="s">
        <v>48</v>
      </c>
      <c r="D35" s="11" t="s">
        <v>67</v>
      </c>
      <c r="E35" s="29" t="s">
        <v>72</v>
      </c>
      <c r="F35" s="35">
        <v>8.4600000000000009</v>
      </c>
      <c r="G35">
        <f t="shared" si="0"/>
        <v>0</v>
      </c>
      <c r="H35" s="49"/>
      <c r="I35">
        <v>0</v>
      </c>
    </row>
    <row r="36" spans="1:9">
      <c r="A36" s="9">
        <v>23</v>
      </c>
      <c r="B36" s="10" t="s">
        <v>26</v>
      </c>
      <c r="C36" s="10" t="s">
        <v>44</v>
      </c>
      <c r="D36" s="11" t="s">
        <v>68</v>
      </c>
      <c r="E36" s="29" t="s">
        <v>72</v>
      </c>
      <c r="F36" s="36">
        <v>12.5</v>
      </c>
      <c r="G36">
        <f t="shared" si="0"/>
        <v>0</v>
      </c>
      <c r="H36" s="49"/>
      <c r="I36">
        <f t="shared" si="1"/>
        <v>0</v>
      </c>
    </row>
    <row r="37" spans="1:9">
      <c r="A37" s="9">
        <v>24</v>
      </c>
      <c r="B37" s="10" t="s">
        <v>27</v>
      </c>
      <c r="C37" s="10" t="s">
        <v>49</v>
      </c>
      <c r="D37" s="11" t="s">
        <v>69</v>
      </c>
      <c r="E37" s="29" t="s">
        <v>72</v>
      </c>
      <c r="F37" s="35">
        <v>9.94</v>
      </c>
      <c r="G37">
        <f t="shared" si="0"/>
        <v>0</v>
      </c>
      <c r="H37" s="49"/>
      <c r="I37">
        <f t="shared" si="1"/>
        <v>0</v>
      </c>
    </row>
    <row r="38" spans="1:9">
      <c r="A38" s="9">
        <v>25</v>
      </c>
      <c r="B38" s="10" t="s">
        <v>75</v>
      </c>
      <c r="C38" s="10" t="s">
        <v>76</v>
      </c>
      <c r="D38" s="11" t="s">
        <v>77</v>
      </c>
      <c r="E38" s="29" t="s">
        <v>72</v>
      </c>
      <c r="F38" s="35">
        <v>8.99</v>
      </c>
      <c r="G38">
        <f t="shared" si="0"/>
        <v>0</v>
      </c>
      <c r="H38" s="49"/>
      <c r="I38">
        <f t="shared" si="1"/>
        <v>0</v>
      </c>
    </row>
    <row r="39" spans="1:9">
      <c r="A39" s="9"/>
      <c r="B39" s="10" t="s">
        <v>1325</v>
      </c>
      <c r="C39" s="10" t="s">
        <v>1322</v>
      </c>
      <c r="D39" s="11" t="s">
        <v>1319</v>
      </c>
      <c r="E39" s="29" t="s">
        <v>72</v>
      </c>
      <c r="F39" s="35">
        <v>12.5</v>
      </c>
      <c r="G39">
        <f t="shared" si="0"/>
        <v>0</v>
      </c>
      <c r="H39" s="49"/>
      <c r="I39">
        <f t="shared" si="1"/>
        <v>0</v>
      </c>
    </row>
    <row r="40" spans="1:9">
      <c r="A40" s="9"/>
      <c r="B40" s="10" t="s">
        <v>1326</v>
      </c>
      <c r="C40" s="10" t="s">
        <v>1323</v>
      </c>
      <c r="D40" s="11" t="s">
        <v>1320</v>
      </c>
      <c r="E40" s="29" t="s">
        <v>72</v>
      </c>
      <c r="F40" s="35">
        <v>12.5</v>
      </c>
      <c r="G40">
        <f t="shared" si="0"/>
        <v>0</v>
      </c>
      <c r="H40" s="49"/>
      <c r="I40">
        <f t="shared" si="1"/>
        <v>0</v>
      </c>
    </row>
    <row r="41" spans="1:9">
      <c r="A41" s="9"/>
      <c r="B41" s="10" t="s">
        <v>1327</v>
      </c>
      <c r="C41" s="10" t="s">
        <v>1324</v>
      </c>
      <c r="D41" s="11" t="s">
        <v>1321</v>
      </c>
      <c r="E41" s="29" t="s">
        <v>72</v>
      </c>
      <c r="F41" s="35">
        <v>12.5</v>
      </c>
      <c r="G41">
        <f t="shared" si="0"/>
        <v>0</v>
      </c>
      <c r="H41" s="49"/>
      <c r="I41">
        <f t="shared" si="1"/>
        <v>0</v>
      </c>
    </row>
    <row r="42" spans="1:9">
      <c r="A42" s="12">
        <v>2</v>
      </c>
      <c r="B42" s="6" t="s">
        <v>117</v>
      </c>
      <c r="C42" s="13" t="s">
        <v>118</v>
      </c>
      <c r="D42" s="14" t="s">
        <v>119</v>
      </c>
      <c r="E42" s="5" t="s">
        <v>73</v>
      </c>
      <c r="F42" s="5" t="s">
        <v>74</v>
      </c>
      <c r="H42" s="49"/>
    </row>
    <row r="43" spans="1:9">
      <c r="A43">
        <v>26</v>
      </c>
      <c r="B43" s="10" t="s">
        <v>81</v>
      </c>
      <c r="C43" s="10" t="s">
        <v>94</v>
      </c>
      <c r="D43" s="11" t="s">
        <v>106</v>
      </c>
      <c r="E43" s="29" t="s">
        <v>72</v>
      </c>
      <c r="F43" s="32">
        <v>6.36</v>
      </c>
      <c r="G43">
        <f t="shared" si="0"/>
        <v>0</v>
      </c>
      <c r="H43" s="49"/>
      <c r="I43">
        <v>0</v>
      </c>
    </row>
    <row r="44" spans="1:9">
      <c r="A44">
        <v>27</v>
      </c>
      <c r="B44" s="10" t="s">
        <v>82</v>
      </c>
      <c r="C44" s="10" t="s">
        <v>95</v>
      </c>
      <c r="D44" s="11" t="s">
        <v>107</v>
      </c>
      <c r="E44" s="29" t="s">
        <v>72</v>
      </c>
      <c r="F44" s="32">
        <v>12.5</v>
      </c>
      <c r="G44">
        <f t="shared" si="0"/>
        <v>0</v>
      </c>
      <c r="H44" s="49"/>
      <c r="I44">
        <f t="shared" si="1"/>
        <v>0</v>
      </c>
    </row>
    <row r="45" spans="1:9">
      <c r="A45">
        <v>28</v>
      </c>
      <c r="B45" s="10" t="s">
        <v>83</v>
      </c>
      <c r="C45" s="10" t="s">
        <v>96</v>
      </c>
      <c r="D45" s="11" t="s">
        <v>1293</v>
      </c>
      <c r="E45" s="29" t="s">
        <v>72</v>
      </c>
      <c r="F45" s="32">
        <v>11.99</v>
      </c>
      <c r="G45">
        <f t="shared" si="0"/>
        <v>59.95</v>
      </c>
      <c r="H45" s="49"/>
      <c r="I45">
        <v>5</v>
      </c>
    </row>
    <row r="46" spans="1:9">
      <c r="A46">
        <v>29</v>
      </c>
      <c r="B46" s="10" t="s">
        <v>84</v>
      </c>
      <c r="C46" s="10" t="s">
        <v>97</v>
      </c>
      <c r="D46" s="11" t="s">
        <v>108</v>
      </c>
      <c r="E46" s="29" t="s">
        <v>72</v>
      </c>
      <c r="F46" s="32">
        <v>11.89</v>
      </c>
      <c r="G46">
        <f t="shared" si="0"/>
        <v>0</v>
      </c>
      <c r="H46" s="49"/>
      <c r="I46">
        <f t="shared" si="1"/>
        <v>0</v>
      </c>
    </row>
    <row r="47" spans="1:9">
      <c r="A47">
        <v>30</v>
      </c>
      <c r="B47" s="10" t="s">
        <v>85</v>
      </c>
      <c r="C47" s="10" t="s">
        <v>98</v>
      </c>
      <c r="D47" s="11" t="s">
        <v>109</v>
      </c>
      <c r="E47" s="29" t="s">
        <v>72</v>
      </c>
      <c r="F47" s="32">
        <v>11.89</v>
      </c>
      <c r="G47">
        <f t="shared" si="0"/>
        <v>0</v>
      </c>
      <c r="H47" s="49"/>
      <c r="I47">
        <f t="shared" si="1"/>
        <v>0</v>
      </c>
    </row>
    <row r="48" spans="1:9">
      <c r="A48">
        <v>31</v>
      </c>
      <c r="B48" s="10" t="s">
        <v>86</v>
      </c>
      <c r="C48" s="10" t="s">
        <v>99</v>
      </c>
      <c r="D48" s="10" t="s">
        <v>1294</v>
      </c>
      <c r="E48" s="29" t="s">
        <v>72</v>
      </c>
      <c r="F48" s="32">
        <v>13.1</v>
      </c>
      <c r="G48">
        <f t="shared" si="0"/>
        <v>0</v>
      </c>
      <c r="H48" s="49"/>
      <c r="I48">
        <f t="shared" si="1"/>
        <v>0</v>
      </c>
    </row>
    <row r="49" spans="1:9">
      <c r="B49" s="10" t="s">
        <v>86</v>
      </c>
      <c r="C49" s="10" t="s">
        <v>99</v>
      </c>
      <c r="D49" s="10" t="s">
        <v>1295</v>
      </c>
      <c r="E49" s="29" t="s">
        <v>72</v>
      </c>
      <c r="F49" s="32">
        <v>12.5</v>
      </c>
      <c r="G49">
        <f t="shared" si="0"/>
        <v>0</v>
      </c>
      <c r="H49" s="49"/>
      <c r="I49">
        <f t="shared" si="1"/>
        <v>0</v>
      </c>
    </row>
    <row r="50" spans="1:9">
      <c r="A50">
        <v>32</v>
      </c>
      <c r="B50" s="10" t="s">
        <v>87</v>
      </c>
      <c r="C50" s="10" t="s">
        <v>100</v>
      </c>
      <c r="D50" s="11" t="s">
        <v>1296</v>
      </c>
      <c r="E50" s="29" t="s">
        <v>72</v>
      </c>
      <c r="F50" s="32">
        <v>13.1</v>
      </c>
      <c r="G50">
        <f t="shared" si="0"/>
        <v>0</v>
      </c>
      <c r="H50" s="49"/>
      <c r="I50">
        <f t="shared" si="1"/>
        <v>0</v>
      </c>
    </row>
    <row r="51" spans="1:9">
      <c r="B51" s="10" t="s">
        <v>87</v>
      </c>
      <c r="C51" s="10" t="s">
        <v>100</v>
      </c>
      <c r="D51" s="11" t="s">
        <v>110</v>
      </c>
      <c r="E51" s="29" t="s">
        <v>72</v>
      </c>
      <c r="F51" s="32">
        <v>12.5</v>
      </c>
      <c r="G51">
        <f t="shared" si="0"/>
        <v>100</v>
      </c>
      <c r="H51" s="49"/>
      <c r="I51">
        <v>8</v>
      </c>
    </row>
    <row r="52" spans="1:9">
      <c r="A52">
        <v>33</v>
      </c>
      <c r="B52" s="10" t="s">
        <v>88</v>
      </c>
      <c r="C52" s="10" t="s">
        <v>101</v>
      </c>
      <c r="D52" s="10" t="s">
        <v>111</v>
      </c>
      <c r="E52" s="29" t="s">
        <v>72</v>
      </c>
      <c r="F52" s="32">
        <v>15.59</v>
      </c>
      <c r="G52">
        <f t="shared" si="0"/>
        <v>0</v>
      </c>
      <c r="H52" s="49"/>
      <c r="I52">
        <f t="shared" si="1"/>
        <v>0</v>
      </c>
    </row>
    <row r="53" spans="1:9">
      <c r="A53">
        <v>34</v>
      </c>
      <c r="B53" s="10" t="s">
        <v>89</v>
      </c>
      <c r="C53" s="10" t="s">
        <v>102</v>
      </c>
      <c r="D53" s="11" t="s">
        <v>112</v>
      </c>
      <c r="E53" s="29" t="s">
        <v>72</v>
      </c>
      <c r="F53" s="32">
        <v>12.5</v>
      </c>
      <c r="G53">
        <f t="shared" si="0"/>
        <v>0</v>
      </c>
      <c r="H53" s="49"/>
      <c r="I53">
        <f t="shared" si="1"/>
        <v>0</v>
      </c>
    </row>
    <row r="54" spans="1:9">
      <c r="A54">
        <v>35</v>
      </c>
      <c r="B54" s="10" t="s">
        <v>90</v>
      </c>
      <c r="C54" s="10" t="s">
        <v>103</v>
      </c>
      <c r="D54" s="11" t="s">
        <v>113</v>
      </c>
      <c r="E54" s="29" t="s">
        <v>72</v>
      </c>
      <c r="F54" s="32">
        <v>18.079999999999998</v>
      </c>
      <c r="G54">
        <f t="shared" si="0"/>
        <v>0</v>
      </c>
      <c r="H54" s="49"/>
      <c r="I54">
        <f t="shared" si="1"/>
        <v>0</v>
      </c>
    </row>
    <row r="55" spans="1:9">
      <c r="A55">
        <v>36</v>
      </c>
      <c r="B55" s="10" t="s">
        <v>91</v>
      </c>
      <c r="C55" s="15" t="s">
        <v>120</v>
      </c>
      <c r="D55" s="11" t="s">
        <v>114</v>
      </c>
      <c r="E55" s="29" t="s">
        <v>72</v>
      </c>
      <c r="F55" s="32">
        <v>16.010000000000002</v>
      </c>
      <c r="G55">
        <f t="shared" si="0"/>
        <v>0</v>
      </c>
      <c r="H55" s="49"/>
      <c r="I55">
        <f t="shared" si="1"/>
        <v>0</v>
      </c>
    </row>
    <row r="56" spans="1:9">
      <c r="A56">
        <v>37</v>
      </c>
      <c r="B56" s="10" t="s">
        <v>92</v>
      </c>
      <c r="C56" s="10" t="s">
        <v>104</v>
      </c>
      <c r="D56" s="11" t="s">
        <v>115</v>
      </c>
      <c r="E56" s="29" t="s">
        <v>72</v>
      </c>
      <c r="F56" s="32">
        <v>16.489999999999998</v>
      </c>
      <c r="G56">
        <f t="shared" si="0"/>
        <v>0</v>
      </c>
      <c r="H56" s="49"/>
      <c r="I56">
        <f t="shared" si="1"/>
        <v>0</v>
      </c>
    </row>
    <row r="57" spans="1:9">
      <c r="A57">
        <v>38</v>
      </c>
      <c r="B57" s="10" t="s">
        <v>93</v>
      </c>
      <c r="C57" s="10" t="s">
        <v>105</v>
      </c>
      <c r="D57" s="11" t="s">
        <v>116</v>
      </c>
      <c r="E57" s="29" t="s">
        <v>72</v>
      </c>
      <c r="F57" s="32">
        <v>41.22</v>
      </c>
      <c r="G57">
        <f t="shared" si="0"/>
        <v>0</v>
      </c>
      <c r="H57" s="49"/>
      <c r="I57">
        <f t="shared" si="1"/>
        <v>0</v>
      </c>
    </row>
    <row r="58" spans="1:9">
      <c r="A58">
        <v>39</v>
      </c>
      <c r="B58" s="10" t="s">
        <v>123</v>
      </c>
      <c r="C58" s="10" t="s">
        <v>122</v>
      </c>
      <c r="D58" s="11" t="s">
        <v>121</v>
      </c>
      <c r="E58" s="29" t="s">
        <v>72</v>
      </c>
      <c r="F58" s="32">
        <v>18.190000000000001</v>
      </c>
      <c r="G58">
        <f t="shared" si="0"/>
        <v>0</v>
      </c>
      <c r="H58" s="49"/>
      <c r="I58">
        <v>0</v>
      </c>
    </row>
    <row r="59" spans="1:9">
      <c r="A59" s="16"/>
      <c r="B59" s="27" t="s">
        <v>1236</v>
      </c>
      <c r="C59" s="17" t="s">
        <v>1237</v>
      </c>
      <c r="D59" s="18" t="s">
        <v>1238</v>
      </c>
      <c r="E59" s="29" t="s">
        <v>72</v>
      </c>
      <c r="F59" s="37">
        <v>12.71</v>
      </c>
      <c r="G59">
        <f t="shared" si="0"/>
        <v>0</v>
      </c>
      <c r="H59" s="49"/>
      <c r="I59">
        <f t="shared" si="1"/>
        <v>0</v>
      </c>
    </row>
    <row r="60" spans="1:9">
      <c r="A60" s="16"/>
      <c r="B60" s="27" t="s">
        <v>1300</v>
      </c>
      <c r="C60" s="17" t="s">
        <v>1299</v>
      </c>
      <c r="D60" s="18" t="s">
        <v>1301</v>
      </c>
      <c r="E60" s="29" t="s">
        <v>1302</v>
      </c>
      <c r="F60" s="37">
        <v>6.11</v>
      </c>
      <c r="G60">
        <f t="shared" si="0"/>
        <v>0</v>
      </c>
      <c r="H60" s="49"/>
      <c r="I60">
        <f t="shared" si="1"/>
        <v>0</v>
      </c>
    </row>
    <row r="61" spans="1:9">
      <c r="A61" s="5">
        <v>3</v>
      </c>
      <c r="B61" s="5" t="s">
        <v>124</v>
      </c>
      <c r="C61" s="5" t="s">
        <v>125</v>
      </c>
      <c r="D61" s="5" t="s">
        <v>126</v>
      </c>
      <c r="E61" s="5" t="s">
        <v>73</v>
      </c>
      <c r="F61" s="5" t="s">
        <v>74</v>
      </c>
      <c r="H61" s="49"/>
    </row>
    <row r="62" spans="1:9">
      <c r="A62">
        <v>40</v>
      </c>
      <c r="B62" s="10" t="s">
        <v>127</v>
      </c>
      <c r="C62" s="10" t="s">
        <v>138</v>
      </c>
      <c r="D62" s="11" t="s">
        <v>148</v>
      </c>
      <c r="E62" s="9" t="s">
        <v>159</v>
      </c>
      <c r="F62" s="32">
        <v>0.37</v>
      </c>
      <c r="G62">
        <f t="shared" si="0"/>
        <v>185</v>
      </c>
      <c r="H62" s="49"/>
      <c r="I62">
        <v>500</v>
      </c>
    </row>
    <row r="63" spans="1:9">
      <c r="A63">
        <v>41</v>
      </c>
      <c r="B63" s="10" t="s">
        <v>128</v>
      </c>
      <c r="C63" s="10" t="s">
        <v>139</v>
      </c>
      <c r="D63" s="11" t="s">
        <v>149</v>
      </c>
      <c r="E63" s="9" t="s">
        <v>72</v>
      </c>
      <c r="F63" s="32">
        <v>3.8</v>
      </c>
      <c r="G63">
        <f t="shared" si="0"/>
        <v>57</v>
      </c>
      <c r="H63" s="49"/>
      <c r="I63">
        <v>15</v>
      </c>
    </row>
    <row r="64" spans="1:9">
      <c r="A64">
        <v>42</v>
      </c>
      <c r="B64" s="10" t="s">
        <v>129</v>
      </c>
      <c r="C64" s="10" t="s">
        <v>140</v>
      </c>
      <c r="D64" s="11" t="s">
        <v>150</v>
      </c>
      <c r="E64" s="9" t="s">
        <v>72</v>
      </c>
      <c r="F64" s="32">
        <v>3.34</v>
      </c>
      <c r="G64">
        <f t="shared" si="0"/>
        <v>0</v>
      </c>
      <c r="H64" s="49"/>
      <c r="I64">
        <f t="shared" si="1"/>
        <v>0</v>
      </c>
    </row>
    <row r="65" spans="1:9">
      <c r="A65">
        <v>43</v>
      </c>
      <c r="B65" s="10" t="s">
        <v>130</v>
      </c>
      <c r="C65" s="10" t="s">
        <v>141</v>
      </c>
      <c r="D65" s="11" t="s">
        <v>151</v>
      </c>
      <c r="E65" s="9" t="s">
        <v>72</v>
      </c>
      <c r="F65" s="32">
        <v>3.55</v>
      </c>
      <c r="G65">
        <f t="shared" si="0"/>
        <v>35.5</v>
      </c>
      <c r="H65" s="49"/>
      <c r="I65">
        <v>10</v>
      </c>
    </row>
    <row r="66" spans="1:9">
      <c r="A66">
        <v>44</v>
      </c>
      <c r="B66" s="10" t="s">
        <v>131</v>
      </c>
      <c r="C66" s="10" t="s">
        <v>142</v>
      </c>
      <c r="D66" s="11" t="s">
        <v>152</v>
      </c>
      <c r="E66" s="9" t="s">
        <v>72</v>
      </c>
      <c r="F66" s="32">
        <v>3.34</v>
      </c>
      <c r="G66">
        <f t="shared" si="0"/>
        <v>0</v>
      </c>
      <c r="H66" s="49"/>
      <c r="I66">
        <f t="shared" si="1"/>
        <v>0</v>
      </c>
    </row>
    <row r="67" spans="1:9">
      <c r="A67">
        <v>45</v>
      </c>
      <c r="B67" s="10" t="s">
        <v>132</v>
      </c>
      <c r="C67" s="10" t="s">
        <v>143</v>
      </c>
      <c r="D67" s="11" t="s">
        <v>153</v>
      </c>
      <c r="E67" s="9" t="s">
        <v>72</v>
      </c>
      <c r="F67" s="32">
        <v>3.34</v>
      </c>
      <c r="G67">
        <f t="shared" si="0"/>
        <v>0</v>
      </c>
      <c r="H67" s="49"/>
      <c r="I67">
        <v>0</v>
      </c>
    </row>
    <row r="68" spans="1:9">
      <c r="A68">
        <v>46</v>
      </c>
      <c r="B68" s="10" t="s">
        <v>133</v>
      </c>
      <c r="C68" s="10" t="s">
        <v>160</v>
      </c>
      <c r="D68" s="11" t="s">
        <v>154</v>
      </c>
      <c r="E68" s="9" t="s">
        <v>72</v>
      </c>
      <c r="F68" s="32">
        <v>3.91</v>
      </c>
      <c r="G68">
        <f t="shared" si="0"/>
        <v>0</v>
      </c>
      <c r="H68" s="49"/>
      <c r="I68">
        <f t="shared" si="1"/>
        <v>0</v>
      </c>
    </row>
    <row r="69" spans="1:9">
      <c r="A69">
        <v>47</v>
      </c>
      <c r="B69" s="10" t="s">
        <v>134</v>
      </c>
      <c r="C69" s="10" t="s">
        <v>144</v>
      </c>
      <c r="D69" s="11" t="s">
        <v>155</v>
      </c>
      <c r="E69" s="9" t="s">
        <v>72</v>
      </c>
      <c r="F69" s="32">
        <v>7.1</v>
      </c>
      <c r="G69">
        <f t="shared" si="0"/>
        <v>0</v>
      </c>
      <c r="H69" s="49"/>
      <c r="I69">
        <v>0</v>
      </c>
    </row>
    <row r="70" spans="1:9">
      <c r="A70">
        <v>48</v>
      </c>
      <c r="B70" s="10" t="s">
        <v>135</v>
      </c>
      <c r="C70" s="10" t="s">
        <v>145</v>
      </c>
      <c r="D70" s="11" t="s">
        <v>156</v>
      </c>
      <c r="E70" s="9" t="s">
        <v>72</v>
      </c>
      <c r="F70" s="32">
        <v>7.94</v>
      </c>
      <c r="G70">
        <f t="shared" si="0"/>
        <v>158.80000000000001</v>
      </c>
      <c r="H70" s="49"/>
      <c r="I70">
        <v>20</v>
      </c>
    </row>
    <row r="71" spans="1:9">
      <c r="A71">
        <v>49</v>
      </c>
      <c r="B71" s="10" t="s">
        <v>136</v>
      </c>
      <c r="C71" s="10" t="s">
        <v>146</v>
      </c>
      <c r="D71" s="11" t="s">
        <v>157</v>
      </c>
      <c r="E71" s="9" t="s">
        <v>72</v>
      </c>
      <c r="F71" s="32">
        <v>7.59</v>
      </c>
      <c r="G71">
        <f t="shared" si="0"/>
        <v>0</v>
      </c>
      <c r="H71" s="49"/>
      <c r="I71">
        <f t="shared" si="1"/>
        <v>0</v>
      </c>
    </row>
    <row r="72" spans="1:9">
      <c r="A72">
        <v>50</v>
      </c>
      <c r="B72" s="10" t="s">
        <v>137</v>
      </c>
      <c r="C72" s="10" t="s">
        <v>147</v>
      </c>
      <c r="D72" s="11" t="s">
        <v>158</v>
      </c>
      <c r="E72" s="9" t="s">
        <v>72</v>
      </c>
      <c r="F72" s="32">
        <v>8.82</v>
      </c>
      <c r="G72">
        <f t="shared" si="0"/>
        <v>0</v>
      </c>
      <c r="H72" s="49"/>
      <c r="I72">
        <v>0</v>
      </c>
    </row>
    <row r="73" spans="1:9">
      <c r="A73" s="16"/>
      <c r="B73" s="17"/>
      <c r="C73" s="17"/>
      <c r="D73" s="18"/>
      <c r="E73" s="29"/>
      <c r="F73" s="37"/>
      <c r="G73">
        <f t="shared" si="0"/>
        <v>0</v>
      </c>
      <c r="H73" s="49"/>
      <c r="I73">
        <f t="shared" si="1"/>
        <v>0</v>
      </c>
    </row>
    <row r="74" spans="1:9">
      <c r="A74" s="17"/>
      <c r="B74" s="17"/>
      <c r="C74" s="17"/>
      <c r="D74" s="17"/>
      <c r="E74" s="29"/>
      <c r="F74" s="37"/>
      <c r="G74">
        <f t="shared" si="0"/>
        <v>0</v>
      </c>
      <c r="H74" s="49"/>
      <c r="I74">
        <f t="shared" si="1"/>
        <v>0</v>
      </c>
    </row>
    <row r="75" spans="1:9">
      <c r="A75" s="5">
        <v>4</v>
      </c>
      <c r="B75" s="13" t="s">
        <v>220</v>
      </c>
      <c r="C75" s="13" t="s">
        <v>221</v>
      </c>
      <c r="D75" s="14" t="s">
        <v>222</v>
      </c>
      <c r="E75" s="5" t="s">
        <v>73</v>
      </c>
      <c r="F75" s="5" t="s">
        <v>74</v>
      </c>
      <c r="H75" s="49"/>
    </row>
    <row r="76" spans="1:9">
      <c r="A76">
        <v>51</v>
      </c>
      <c r="B76" s="10" t="s">
        <v>223</v>
      </c>
      <c r="C76" s="10" t="s">
        <v>1249</v>
      </c>
      <c r="D76" s="11" t="s">
        <v>1211</v>
      </c>
      <c r="E76" s="29" t="s">
        <v>72</v>
      </c>
      <c r="F76" s="32">
        <v>4.84</v>
      </c>
      <c r="G76">
        <f t="shared" ref="G76:G139" si="2" xml:space="preserve"> F76*I76</f>
        <v>33.879999999999995</v>
      </c>
      <c r="H76" s="49"/>
      <c r="I76">
        <v>7</v>
      </c>
    </row>
    <row r="77" spans="1:9">
      <c r="A77">
        <v>52</v>
      </c>
      <c r="B77" s="10" t="s">
        <v>224</v>
      </c>
      <c r="C77" s="10" t="s">
        <v>248</v>
      </c>
      <c r="D77" s="11" t="s">
        <v>272</v>
      </c>
      <c r="E77" s="29" t="s">
        <v>72</v>
      </c>
      <c r="F77" s="32">
        <v>5.42</v>
      </c>
      <c r="G77">
        <f t="shared" si="2"/>
        <v>16.259999999999998</v>
      </c>
      <c r="H77" s="49"/>
      <c r="I77">
        <v>3</v>
      </c>
    </row>
    <row r="78" spans="1:9">
      <c r="A78">
        <v>53</v>
      </c>
      <c r="B78" s="10" t="s">
        <v>225</v>
      </c>
      <c r="C78" s="10" t="s">
        <v>249</v>
      </c>
      <c r="D78" s="11" t="s">
        <v>273</v>
      </c>
      <c r="E78" s="29" t="s">
        <v>72</v>
      </c>
      <c r="F78" s="32">
        <v>4.88</v>
      </c>
      <c r="G78">
        <f t="shared" si="2"/>
        <v>0</v>
      </c>
      <c r="H78" s="49"/>
      <c r="I78">
        <f t="shared" ref="I78:I138" si="3">H78*F78</f>
        <v>0</v>
      </c>
    </row>
    <row r="79" spans="1:9">
      <c r="A79">
        <v>54</v>
      </c>
      <c r="B79" s="10" t="s">
        <v>226</v>
      </c>
      <c r="C79" s="19" t="s">
        <v>250</v>
      </c>
      <c r="D79" s="11" t="s">
        <v>274</v>
      </c>
      <c r="E79" s="29" t="s">
        <v>72</v>
      </c>
      <c r="F79" s="32">
        <v>4.88</v>
      </c>
      <c r="G79">
        <f t="shared" si="2"/>
        <v>0</v>
      </c>
      <c r="H79" s="49"/>
      <c r="I79">
        <v>0</v>
      </c>
    </row>
    <row r="80" spans="1:9">
      <c r="A80">
        <v>55</v>
      </c>
      <c r="B80" s="10" t="s">
        <v>227</v>
      </c>
      <c r="C80" s="10" t="s">
        <v>251</v>
      </c>
      <c r="D80" s="11" t="s">
        <v>275</v>
      </c>
      <c r="E80" s="29" t="s">
        <v>72</v>
      </c>
      <c r="F80" s="32">
        <v>4.88</v>
      </c>
      <c r="G80">
        <f t="shared" si="2"/>
        <v>0</v>
      </c>
      <c r="H80" s="49"/>
      <c r="I80">
        <f t="shared" si="3"/>
        <v>0</v>
      </c>
    </row>
    <row r="81" spans="1:9">
      <c r="A81">
        <v>56</v>
      </c>
      <c r="B81" s="10" t="s">
        <v>228</v>
      </c>
      <c r="C81" s="10" t="s">
        <v>252</v>
      </c>
      <c r="D81" s="11" t="s">
        <v>1255</v>
      </c>
      <c r="E81" s="29" t="s">
        <v>72</v>
      </c>
      <c r="F81" s="32">
        <v>6.81</v>
      </c>
      <c r="G81">
        <f t="shared" si="2"/>
        <v>0</v>
      </c>
      <c r="H81" s="49"/>
      <c r="I81">
        <v>0</v>
      </c>
    </row>
    <row r="82" spans="1:9">
      <c r="A82">
        <v>57</v>
      </c>
      <c r="B82" s="10" t="s">
        <v>229</v>
      </c>
      <c r="C82" s="10" t="s">
        <v>253</v>
      </c>
      <c r="D82" s="11" t="s">
        <v>276</v>
      </c>
      <c r="E82" s="29" t="s">
        <v>72</v>
      </c>
      <c r="F82" s="32">
        <v>6.81</v>
      </c>
      <c r="G82">
        <f t="shared" si="2"/>
        <v>0</v>
      </c>
      <c r="H82" s="49"/>
      <c r="I82">
        <f t="shared" si="3"/>
        <v>0</v>
      </c>
    </row>
    <row r="83" spans="1:9">
      <c r="A83">
        <v>58</v>
      </c>
      <c r="B83" s="10" t="s">
        <v>230</v>
      </c>
      <c r="C83" s="10" t="s">
        <v>254</v>
      </c>
      <c r="D83" s="11" t="s">
        <v>277</v>
      </c>
      <c r="E83" s="29" t="s">
        <v>72</v>
      </c>
      <c r="F83" s="32">
        <v>6.5</v>
      </c>
      <c r="G83">
        <f t="shared" si="2"/>
        <v>0</v>
      </c>
      <c r="H83" s="49"/>
      <c r="I83">
        <f t="shared" si="3"/>
        <v>0</v>
      </c>
    </row>
    <row r="84" spans="1:9">
      <c r="A84">
        <v>59</v>
      </c>
      <c r="B84" s="10" t="s">
        <v>231</v>
      </c>
      <c r="C84" s="10" t="s">
        <v>255</v>
      </c>
      <c r="D84" s="11" t="s">
        <v>278</v>
      </c>
      <c r="E84" s="29" t="s">
        <v>72</v>
      </c>
      <c r="F84" s="32">
        <v>6.51</v>
      </c>
      <c r="G84">
        <f t="shared" si="2"/>
        <v>0</v>
      </c>
      <c r="H84" s="49"/>
      <c r="I84">
        <v>0</v>
      </c>
    </row>
    <row r="85" spans="1:9">
      <c r="A85">
        <v>60</v>
      </c>
      <c r="B85" s="10" t="s">
        <v>232</v>
      </c>
      <c r="C85" s="10" t="s">
        <v>256</v>
      </c>
      <c r="D85" s="11" t="s">
        <v>279</v>
      </c>
      <c r="E85" s="29" t="s">
        <v>72</v>
      </c>
      <c r="F85" s="32">
        <v>5.97</v>
      </c>
      <c r="G85">
        <f t="shared" si="2"/>
        <v>0</v>
      </c>
      <c r="H85" s="49"/>
      <c r="I85">
        <v>0</v>
      </c>
    </row>
    <row r="86" spans="1:9">
      <c r="A86">
        <v>61</v>
      </c>
      <c r="B86" s="10" t="s">
        <v>233</v>
      </c>
      <c r="C86" s="10" t="s">
        <v>257</v>
      </c>
      <c r="D86" s="11" t="s">
        <v>280</v>
      </c>
      <c r="E86" s="29" t="s">
        <v>72</v>
      </c>
      <c r="F86" s="32">
        <v>7.62</v>
      </c>
      <c r="G86">
        <f t="shared" si="2"/>
        <v>38.1</v>
      </c>
      <c r="H86" s="49"/>
      <c r="I86">
        <v>5</v>
      </c>
    </row>
    <row r="87" spans="1:9">
      <c r="A87">
        <v>62</v>
      </c>
      <c r="B87" s="10" t="s">
        <v>234</v>
      </c>
      <c r="C87" s="10" t="s">
        <v>258</v>
      </c>
      <c r="D87" s="11" t="s">
        <v>281</v>
      </c>
      <c r="E87" s="29" t="s">
        <v>72</v>
      </c>
      <c r="F87" s="32">
        <v>8.33</v>
      </c>
      <c r="G87">
        <f t="shared" si="2"/>
        <v>0</v>
      </c>
      <c r="H87" s="49"/>
      <c r="I87">
        <f t="shared" si="3"/>
        <v>0</v>
      </c>
    </row>
    <row r="88" spans="1:9">
      <c r="A88">
        <v>63</v>
      </c>
      <c r="B88" s="10" t="s">
        <v>1248</v>
      </c>
      <c r="C88" s="10" t="s">
        <v>1246</v>
      </c>
      <c r="D88" s="11" t="s">
        <v>1247</v>
      </c>
      <c r="E88" s="29" t="s">
        <v>72</v>
      </c>
      <c r="F88" s="32">
        <v>8.1</v>
      </c>
      <c r="G88">
        <f t="shared" si="2"/>
        <v>8.1</v>
      </c>
      <c r="H88" s="49"/>
      <c r="I88">
        <v>1</v>
      </c>
    </row>
    <row r="89" spans="1:9">
      <c r="A89">
        <v>64</v>
      </c>
      <c r="B89" s="10" t="s">
        <v>235</v>
      </c>
      <c r="C89" s="10" t="s">
        <v>259</v>
      </c>
      <c r="D89" s="11" t="s">
        <v>282</v>
      </c>
      <c r="E89" s="29" t="s">
        <v>72</v>
      </c>
      <c r="F89" s="32">
        <v>7.92</v>
      </c>
      <c r="G89">
        <f t="shared" si="2"/>
        <v>7.92</v>
      </c>
      <c r="H89" s="49"/>
      <c r="I89">
        <v>1</v>
      </c>
    </row>
    <row r="90" spans="1:9">
      <c r="A90">
        <v>65</v>
      </c>
      <c r="B90" s="10" t="s">
        <v>236</v>
      </c>
      <c r="C90" s="10" t="s">
        <v>260</v>
      </c>
      <c r="D90" s="11" t="s">
        <v>283</v>
      </c>
      <c r="E90" s="29" t="s">
        <v>72</v>
      </c>
      <c r="F90" s="32">
        <v>7.54</v>
      </c>
      <c r="G90">
        <f t="shared" si="2"/>
        <v>37.700000000000003</v>
      </c>
      <c r="H90" s="49"/>
      <c r="I90">
        <v>5</v>
      </c>
    </row>
    <row r="91" spans="1:9">
      <c r="A91">
        <v>66</v>
      </c>
      <c r="B91" s="10" t="s">
        <v>237</v>
      </c>
      <c r="C91" s="10" t="s">
        <v>261</v>
      </c>
      <c r="D91" s="11" t="s">
        <v>284</v>
      </c>
      <c r="E91" s="29" t="s">
        <v>72</v>
      </c>
      <c r="F91" s="32">
        <v>7.62</v>
      </c>
      <c r="G91">
        <f t="shared" si="2"/>
        <v>0</v>
      </c>
      <c r="H91" s="49"/>
      <c r="I91">
        <f t="shared" si="3"/>
        <v>0</v>
      </c>
    </row>
    <row r="92" spans="1:9">
      <c r="A92">
        <v>67</v>
      </c>
      <c r="B92" s="10" t="s">
        <v>238</v>
      </c>
      <c r="C92" s="10" t="s">
        <v>262</v>
      </c>
      <c r="D92" s="11" t="s">
        <v>285</v>
      </c>
      <c r="E92" s="29" t="s">
        <v>72</v>
      </c>
      <c r="F92" s="32">
        <v>8.23</v>
      </c>
      <c r="G92">
        <f t="shared" si="2"/>
        <v>0</v>
      </c>
      <c r="H92" s="49"/>
      <c r="I92">
        <f t="shared" si="3"/>
        <v>0</v>
      </c>
    </row>
    <row r="93" spans="1:9">
      <c r="A93">
        <v>68</v>
      </c>
      <c r="B93" s="10" t="s">
        <v>239</v>
      </c>
      <c r="C93" s="10" t="s">
        <v>263</v>
      </c>
      <c r="D93" s="11" t="s">
        <v>286</v>
      </c>
      <c r="E93" s="29" t="s">
        <v>72</v>
      </c>
      <c r="F93" s="32">
        <v>8.35</v>
      </c>
      <c r="G93">
        <f t="shared" si="2"/>
        <v>0</v>
      </c>
      <c r="H93" s="49"/>
      <c r="I93">
        <v>0</v>
      </c>
    </row>
    <row r="94" spans="1:9">
      <c r="A94">
        <v>69</v>
      </c>
      <c r="B94" s="10" t="s">
        <v>240</v>
      </c>
      <c r="C94" s="10" t="s">
        <v>264</v>
      </c>
      <c r="D94" s="11" t="s">
        <v>287</v>
      </c>
      <c r="E94" s="29" t="s">
        <v>72</v>
      </c>
      <c r="F94" s="32">
        <v>9.2100000000000009</v>
      </c>
      <c r="G94">
        <f t="shared" si="2"/>
        <v>0</v>
      </c>
      <c r="H94" s="49"/>
      <c r="I94">
        <f t="shared" si="3"/>
        <v>0</v>
      </c>
    </row>
    <row r="95" spans="1:9">
      <c r="A95">
        <v>70</v>
      </c>
      <c r="B95" s="10" t="s">
        <v>241</v>
      </c>
      <c r="C95" s="10" t="s">
        <v>265</v>
      </c>
      <c r="D95" s="11" t="s">
        <v>288</v>
      </c>
      <c r="E95" s="29" t="s">
        <v>72</v>
      </c>
      <c r="F95" s="32">
        <v>8.94</v>
      </c>
      <c r="G95">
        <f t="shared" si="2"/>
        <v>0</v>
      </c>
      <c r="H95" s="49"/>
      <c r="I95">
        <v>0</v>
      </c>
    </row>
    <row r="96" spans="1:9">
      <c r="A96">
        <v>71</v>
      </c>
      <c r="B96" s="10" t="s">
        <v>242</v>
      </c>
      <c r="C96" s="10" t="s">
        <v>266</v>
      </c>
      <c r="D96" s="11" t="s">
        <v>289</v>
      </c>
      <c r="E96" s="29" t="s">
        <v>72</v>
      </c>
      <c r="F96" s="32">
        <v>9.5399999999999991</v>
      </c>
      <c r="G96">
        <f t="shared" si="2"/>
        <v>0</v>
      </c>
      <c r="H96" s="49"/>
      <c r="I96">
        <f t="shared" si="3"/>
        <v>0</v>
      </c>
    </row>
    <row r="97" spans="1:9">
      <c r="A97">
        <v>72</v>
      </c>
      <c r="B97" s="10" t="s">
        <v>243</v>
      </c>
      <c r="C97" s="19" t="s">
        <v>267</v>
      </c>
      <c r="D97" s="11" t="s">
        <v>290</v>
      </c>
      <c r="E97" s="29" t="s">
        <v>72</v>
      </c>
      <c r="F97" s="32">
        <v>11.5</v>
      </c>
      <c r="G97">
        <f t="shared" si="2"/>
        <v>46</v>
      </c>
      <c r="H97" s="49"/>
      <c r="I97">
        <v>4</v>
      </c>
    </row>
    <row r="98" spans="1:9">
      <c r="A98">
        <v>73</v>
      </c>
      <c r="B98" s="10" t="s">
        <v>244</v>
      </c>
      <c r="C98" s="19" t="s">
        <v>268</v>
      </c>
      <c r="D98" s="11" t="s">
        <v>291</v>
      </c>
      <c r="E98" s="29" t="s">
        <v>72</v>
      </c>
      <c r="F98" s="32">
        <v>10.19</v>
      </c>
      <c r="G98">
        <f t="shared" si="2"/>
        <v>0</v>
      </c>
      <c r="H98" s="49"/>
      <c r="I98">
        <v>0</v>
      </c>
    </row>
    <row r="99" spans="1:9">
      <c r="A99">
        <v>74</v>
      </c>
      <c r="B99" s="10" t="s">
        <v>245</v>
      </c>
      <c r="C99" s="19" t="s">
        <v>269</v>
      </c>
      <c r="D99" s="11" t="s">
        <v>292</v>
      </c>
      <c r="E99" s="29" t="s">
        <v>72</v>
      </c>
      <c r="F99" s="32">
        <v>10.48</v>
      </c>
      <c r="G99">
        <f t="shared" si="2"/>
        <v>0</v>
      </c>
      <c r="H99" s="49"/>
      <c r="I99">
        <f t="shared" si="3"/>
        <v>0</v>
      </c>
    </row>
    <row r="100" spans="1:9">
      <c r="A100">
        <v>75</v>
      </c>
      <c r="B100" s="10" t="s">
        <v>246</v>
      </c>
      <c r="C100" s="19" t="s">
        <v>270</v>
      </c>
      <c r="D100" s="11" t="s">
        <v>293</v>
      </c>
      <c r="E100" s="29" t="s">
        <v>72</v>
      </c>
      <c r="F100" s="32">
        <v>11.29</v>
      </c>
      <c r="G100">
        <f t="shared" si="2"/>
        <v>0</v>
      </c>
      <c r="H100" s="49"/>
      <c r="I100">
        <f t="shared" si="3"/>
        <v>0</v>
      </c>
    </row>
    <row r="101" spans="1:9">
      <c r="A101">
        <v>76</v>
      </c>
      <c r="B101" s="10" t="s">
        <v>247</v>
      </c>
      <c r="C101" s="19" t="s">
        <v>271</v>
      </c>
      <c r="D101" s="11" t="s">
        <v>294</v>
      </c>
      <c r="E101" s="29" t="s">
        <v>72</v>
      </c>
      <c r="F101" s="32">
        <v>12.35</v>
      </c>
      <c r="G101">
        <f t="shared" si="2"/>
        <v>0</v>
      </c>
      <c r="H101" s="49"/>
      <c r="I101">
        <f t="shared" si="3"/>
        <v>0</v>
      </c>
    </row>
    <row r="102" spans="1:9">
      <c r="A102">
        <v>77</v>
      </c>
      <c r="B102" s="10" t="s">
        <v>295</v>
      </c>
      <c r="C102" s="19" t="s">
        <v>296</v>
      </c>
      <c r="D102" s="11" t="s">
        <v>297</v>
      </c>
      <c r="E102" s="29" t="s">
        <v>72</v>
      </c>
      <c r="F102" s="32">
        <v>7.82</v>
      </c>
      <c r="G102">
        <f t="shared" si="2"/>
        <v>15.64</v>
      </c>
      <c r="H102" s="49"/>
      <c r="I102">
        <v>2</v>
      </c>
    </row>
    <row r="103" spans="1:9">
      <c r="B103" s="10" t="s">
        <v>1315</v>
      </c>
      <c r="C103" s="19" t="s">
        <v>1313</v>
      </c>
      <c r="D103" s="11" t="s">
        <v>1314</v>
      </c>
      <c r="E103" s="29" t="s">
        <v>72</v>
      </c>
      <c r="F103" s="32">
        <v>26.64</v>
      </c>
      <c r="G103">
        <f t="shared" si="2"/>
        <v>0</v>
      </c>
      <c r="H103" s="49"/>
      <c r="I103">
        <f t="shared" si="3"/>
        <v>0</v>
      </c>
    </row>
    <row r="104" spans="1:9">
      <c r="B104" s="10" t="s">
        <v>1316</v>
      </c>
      <c r="C104" s="40" t="s">
        <v>1317</v>
      </c>
      <c r="D104" s="11" t="s">
        <v>1318</v>
      </c>
      <c r="E104" s="29" t="s">
        <v>1265</v>
      </c>
      <c r="F104" s="32">
        <v>15.19</v>
      </c>
      <c r="G104">
        <f t="shared" si="2"/>
        <v>30.38</v>
      </c>
      <c r="H104" s="49"/>
      <c r="I104">
        <v>2</v>
      </c>
    </row>
    <row r="105" spans="1:9">
      <c r="A105" s="5">
        <v>5</v>
      </c>
      <c r="B105" s="5" t="s">
        <v>298</v>
      </c>
      <c r="C105" s="5" t="s">
        <v>299</v>
      </c>
      <c r="D105" s="5" t="s">
        <v>300</v>
      </c>
      <c r="E105" s="5" t="s">
        <v>73</v>
      </c>
      <c r="F105" s="5" t="s">
        <v>74</v>
      </c>
      <c r="H105" s="49"/>
    </row>
    <row r="106" spans="1:9">
      <c r="A106">
        <v>78</v>
      </c>
      <c r="B106" s="10" t="s">
        <v>301</v>
      </c>
      <c r="C106" s="10" t="s">
        <v>309</v>
      </c>
      <c r="D106" s="11" t="s">
        <v>317</v>
      </c>
      <c r="E106" s="27" t="s">
        <v>324</v>
      </c>
      <c r="F106" s="38">
        <v>1.21</v>
      </c>
      <c r="G106">
        <f t="shared" si="2"/>
        <v>0</v>
      </c>
      <c r="H106" s="49"/>
      <c r="I106">
        <f t="shared" si="3"/>
        <v>0</v>
      </c>
    </row>
    <row r="107" spans="1:9">
      <c r="A107">
        <v>79</v>
      </c>
      <c r="B107" s="10" t="s">
        <v>302</v>
      </c>
      <c r="C107" s="10" t="s">
        <v>310</v>
      </c>
      <c r="D107" s="10" t="s">
        <v>1278</v>
      </c>
      <c r="E107" s="27" t="s">
        <v>324</v>
      </c>
      <c r="F107" s="38">
        <v>2.41</v>
      </c>
      <c r="G107">
        <f t="shared" si="2"/>
        <v>0</v>
      </c>
      <c r="H107" s="49"/>
      <c r="I107">
        <f t="shared" si="3"/>
        <v>0</v>
      </c>
    </row>
    <row r="108" spans="1:9">
      <c r="A108">
        <v>80</v>
      </c>
      <c r="B108" s="10" t="s">
        <v>303</v>
      </c>
      <c r="C108" s="10" t="s">
        <v>311</v>
      </c>
      <c r="D108" s="11" t="s">
        <v>318</v>
      </c>
      <c r="E108" s="27" t="s">
        <v>324</v>
      </c>
      <c r="F108" s="38">
        <v>2.31</v>
      </c>
      <c r="G108">
        <f t="shared" si="2"/>
        <v>0</v>
      </c>
      <c r="H108" s="49"/>
      <c r="I108">
        <f t="shared" si="3"/>
        <v>0</v>
      </c>
    </row>
    <row r="109" spans="1:9">
      <c r="A109">
        <v>81</v>
      </c>
      <c r="B109" s="10" t="s">
        <v>304</v>
      </c>
      <c r="C109" s="10" t="s">
        <v>312</v>
      </c>
      <c r="D109" s="11" t="s">
        <v>319</v>
      </c>
      <c r="E109" s="27" t="s">
        <v>324</v>
      </c>
      <c r="F109" s="38">
        <v>2.7</v>
      </c>
      <c r="G109">
        <f t="shared" si="2"/>
        <v>0</v>
      </c>
      <c r="H109" s="49"/>
      <c r="I109">
        <f t="shared" si="3"/>
        <v>0</v>
      </c>
    </row>
    <row r="110" spans="1:9">
      <c r="A110">
        <v>82</v>
      </c>
      <c r="B110" s="10" t="s">
        <v>305</v>
      </c>
      <c r="C110" s="11" t="s">
        <v>320</v>
      </c>
      <c r="D110" s="10" t="s">
        <v>313</v>
      </c>
      <c r="E110" s="27" t="s">
        <v>324</v>
      </c>
      <c r="F110" s="38">
        <v>3.5</v>
      </c>
      <c r="G110">
        <f t="shared" si="2"/>
        <v>0</v>
      </c>
      <c r="H110" s="49"/>
      <c r="I110">
        <f t="shared" si="3"/>
        <v>0</v>
      </c>
    </row>
    <row r="111" spans="1:9">
      <c r="A111">
        <v>83</v>
      </c>
      <c r="B111" s="10" t="s">
        <v>306</v>
      </c>
      <c r="C111" s="10" t="s">
        <v>314</v>
      </c>
      <c r="D111" s="11" t="s">
        <v>321</v>
      </c>
      <c r="E111" s="27" t="s">
        <v>324</v>
      </c>
      <c r="F111" s="38">
        <v>3.6</v>
      </c>
      <c r="G111">
        <f t="shared" si="2"/>
        <v>0</v>
      </c>
      <c r="H111" s="49"/>
      <c r="I111">
        <f t="shared" si="3"/>
        <v>0</v>
      </c>
    </row>
    <row r="112" spans="1:9">
      <c r="A112">
        <v>84</v>
      </c>
      <c r="B112" s="10" t="s">
        <v>307</v>
      </c>
      <c r="C112" s="10" t="s">
        <v>315</v>
      </c>
      <c r="D112" s="11" t="s">
        <v>322</v>
      </c>
      <c r="E112" s="27" t="s">
        <v>324</v>
      </c>
      <c r="F112" s="38">
        <v>3.52</v>
      </c>
      <c r="G112">
        <f t="shared" si="2"/>
        <v>0</v>
      </c>
      <c r="H112" s="49"/>
      <c r="I112">
        <f t="shared" si="3"/>
        <v>0</v>
      </c>
    </row>
    <row r="113" spans="1:9">
      <c r="A113">
        <v>85</v>
      </c>
      <c r="B113" s="10" t="s">
        <v>308</v>
      </c>
      <c r="C113" s="10" t="s">
        <v>316</v>
      </c>
      <c r="D113" s="11" t="s">
        <v>323</v>
      </c>
      <c r="E113" s="27" t="s">
        <v>324</v>
      </c>
      <c r="F113" s="38">
        <v>7.92</v>
      </c>
      <c r="G113">
        <f t="shared" si="2"/>
        <v>0</v>
      </c>
      <c r="H113" s="49"/>
      <c r="I113">
        <f t="shared" si="3"/>
        <v>0</v>
      </c>
    </row>
    <row r="114" spans="1:9">
      <c r="A114" s="5">
        <v>6</v>
      </c>
      <c r="B114" s="5" t="s">
        <v>161</v>
      </c>
      <c r="C114" s="5" t="s">
        <v>162</v>
      </c>
      <c r="D114" s="5" t="s">
        <v>163</v>
      </c>
      <c r="E114" s="5" t="s">
        <v>73</v>
      </c>
      <c r="F114" s="5" t="s">
        <v>74</v>
      </c>
      <c r="H114" s="49"/>
    </row>
    <row r="115" spans="1:9">
      <c r="A115">
        <v>86</v>
      </c>
      <c r="B115" s="10" t="s">
        <v>164</v>
      </c>
      <c r="C115" s="10" t="s">
        <v>1207</v>
      </c>
      <c r="D115" s="11" t="s">
        <v>198</v>
      </c>
      <c r="E115" s="29" t="s">
        <v>72</v>
      </c>
      <c r="F115" s="32">
        <v>18.55</v>
      </c>
      <c r="G115">
        <f t="shared" si="2"/>
        <v>148.4</v>
      </c>
      <c r="H115" s="49"/>
      <c r="I115">
        <v>8</v>
      </c>
    </row>
    <row r="116" spans="1:9">
      <c r="A116">
        <v>87</v>
      </c>
      <c r="B116" s="10" t="s">
        <v>165</v>
      </c>
      <c r="C116" s="10" t="s">
        <v>182</v>
      </c>
      <c r="D116" s="11" t="s">
        <v>199</v>
      </c>
      <c r="E116" s="29" t="s">
        <v>159</v>
      </c>
      <c r="F116" s="32">
        <v>2.2200000000000002</v>
      </c>
      <c r="G116">
        <f t="shared" si="2"/>
        <v>0</v>
      </c>
      <c r="H116" s="49"/>
      <c r="I116">
        <v>0</v>
      </c>
    </row>
    <row r="117" spans="1:9">
      <c r="A117">
        <v>88</v>
      </c>
      <c r="B117" s="10" t="s">
        <v>166</v>
      </c>
      <c r="C117" s="10" t="s">
        <v>183</v>
      </c>
      <c r="D117" s="11" t="s">
        <v>200</v>
      </c>
      <c r="E117" s="29" t="s">
        <v>72</v>
      </c>
      <c r="F117" s="32">
        <v>10.5</v>
      </c>
      <c r="G117">
        <f t="shared" si="2"/>
        <v>0</v>
      </c>
      <c r="H117" s="49"/>
      <c r="I117">
        <v>0</v>
      </c>
    </row>
    <row r="118" spans="1:9">
      <c r="A118">
        <v>89</v>
      </c>
      <c r="B118" s="10" t="s">
        <v>167</v>
      </c>
      <c r="C118" s="10" t="s">
        <v>184</v>
      </c>
      <c r="D118" s="11" t="s">
        <v>1250</v>
      </c>
      <c r="E118" s="29" t="s">
        <v>72</v>
      </c>
      <c r="F118" s="32">
        <v>9.1999999999999993</v>
      </c>
      <c r="G118">
        <f t="shared" si="2"/>
        <v>0</v>
      </c>
      <c r="H118" s="49"/>
      <c r="I118">
        <f t="shared" si="3"/>
        <v>0</v>
      </c>
    </row>
    <row r="119" spans="1:9">
      <c r="B119" s="45"/>
      <c r="C119" s="45"/>
      <c r="D119" s="46"/>
      <c r="E119" s="47"/>
      <c r="F119" s="48"/>
      <c r="G119">
        <f t="shared" si="2"/>
        <v>0</v>
      </c>
      <c r="H119" s="49"/>
      <c r="I119">
        <f t="shared" si="3"/>
        <v>0</v>
      </c>
    </row>
    <row r="120" spans="1:9">
      <c r="A120">
        <v>90</v>
      </c>
      <c r="B120" s="10" t="s">
        <v>168</v>
      </c>
      <c r="C120" s="10" t="s">
        <v>185</v>
      </c>
      <c r="D120" s="11" t="s">
        <v>201</v>
      </c>
      <c r="E120" s="29" t="s">
        <v>72</v>
      </c>
      <c r="F120" s="32">
        <v>10.5</v>
      </c>
      <c r="G120">
        <f t="shared" si="2"/>
        <v>0</v>
      </c>
      <c r="H120" s="49"/>
      <c r="I120">
        <f t="shared" si="3"/>
        <v>0</v>
      </c>
    </row>
    <row r="121" spans="1:9">
      <c r="A121">
        <v>91</v>
      </c>
      <c r="B121" s="10" t="s">
        <v>169</v>
      </c>
      <c r="C121" s="15" t="s">
        <v>186</v>
      </c>
      <c r="D121" s="11" t="s">
        <v>202</v>
      </c>
      <c r="E121" s="29" t="s">
        <v>72</v>
      </c>
      <c r="F121" s="32">
        <v>8.75</v>
      </c>
      <c r="G121">
        <f t="shared" si="2"/>
        <v>35</v>
      </c>
      <c r="H121" s="49"/>
      <c r="I121">
        <v>4</v>
      </c>
    </row>
    <row r="122" spans="1:9">
      <c r="A122">
        <v>92</v>
      </c>
      <c r="B122" s="10" t="s">
        <v>170</v>
      </c>
      <c r="C122" s="10" t="s">
        <v>187</v>
      </c>
      <c r="D122" s="11" t="s">
        <v>203</v>
      </c>
      <c r="E122" s="29" t="s">
        <v>72</v>
      </c>
      <c r="F122" s="32">
        <v>9.5500000000000007</v>
      </c>
      <c r="G122">
        <f t="shared" si="2"/>
        <v>0</v>
      </c>
      <c r="H122" s="49"/>
      <c r="I122">
        <v>0</v>
      </c>
    </row>
    <row r="123" spans="1:9">
      <c r="A123">
        <v>93</v>
      </c>
      <c r="B123" s="10" t="s">
        <v>171</v>
      </c>
      <c r="C123" s="10" t="s">
        <v>188</v>
      </c>
      <c r="D123" s="11" t="s">
        <v>204</v>
      </c>
      <c r="E123" s="29" t="s">
        <v>72</v>
      </c>
      <c r="F123" s="32">
        <v>6.91</v>
      </c>
      <c r="G123">
        <f t="shared" si="2"/>
        <v>27.64</v>
      </c>
      <c r="H123" s="49"/>
      <c r="I123">
        <v>4</v>
      </c>
    </row>
    <row r="124" spans="1:9">
      <c r="A124">
        <v>94</v>
      </c>
      <c r="B124" s="10" t="s">
        <v>172</v>
      </c>
      <c r="C124" s="10" t="s">
        <v>189</v>
      </c>
      <c r="D124" s="11" t="s">
        <v>205</v>
      </c>
      <c r="E124" s="29" t="s">
        <v>72</v>
      </c>
      <c r="F124" s="32">
        <v>12.9</v>
      </c>
      <c r="G124">
        <f t="shared" si="2"/>
        <v>0</v>
      </c>
      <c r="H124" s="49"/>
      <c r="I124">
        <f t="shared" si="3"/>
        <v>0</v>
      </c>
    </row>
    <row r="125" spans="1:9">
      <c r="A125">
        <v>95</v>
      </c>
      <c r="B125" s="10" t="s">
        <v>173</v>
      </c>
      <c r="C125" s="10" t="s">
        <v>190</v>
      </c>
      <c r="D125" s="11" t="s">
        <v>206</v>
      </c>
      <c r="E125" s="29" t="s">
        <v>72</v>
      </c>
      <c r="F125" s="32">
        <v>12.1</v>
      </c>
      <c r="G125">
        <f t="shared" si="2"/>
        <v>0</v>
      </c>
      <c r="H125" s="49"/>
      <c r="I125">
        <f t="shared" si="3"/>
        <v>0</v>
      </c>
    </row>
    <row r="126" spans="1:9">
      <c r="A126">
        <v>96</v>
      </c>
      <c r="B126" s="10" t="s">
        <v>174</v>
      </c>
      <c r="C126" s="10" t="s">
        <v>191</v>
      </c>
      <c r="D126" s="11" t="s">
        <v>1225</v>
      </c>
      <c r="E126" s="29" t="s">
        <v>72</v>
      </c>
      <c r="F126" s="32">
        <v>10.1</v>
      </c>
      <c r="G126">
        <f t="shared" si="2"/>
        <v>0</v>
      </c>
      <c r="H126" s="49"/>
      <c r="I126">
        <v>0</v>
      </c>
    </row>
    <row r="127" spans="1:9">
      <c r="A127">
        <v>97</v>
      </c>
      <c r="B127" s="10" t="s">
        <v>1220</v>
      </c>
      <c r="C127" s="10" t="s">
        <v>1217</v>
      </c>
      <c r="D127" s="11" t="s">
        <v>1219</v>
      </c>
      <c r="E127" s="29" t="s">
        <v>72</v>
      </c>
      <c r="F127" s="32">
        <v>0</v>
      </c>
      <c r="G127">
        <f t="shared" si="2"/>
        <v>0</v>
      </c>
      <c r="H127" s="49"/>
      <c r="I127">
        <f t="shared" si="3"/>
        <v>0</v>
      </c>
    </row>
    <row r="128" spans="1:9">
      <c r="A128" t="s">
        <v>1221</v>
      </c>
      <c r="B128" s="10" t="s">
        <v>175</v>
      </c>
      <c r="C128" s="10" t="s">
        <v>1218</v>
      </c>
      <c r="D128" s="11" t="s">
        <v>207</v>
      </c>
      <c r="E128" s="29" t="s">
        <v>72</v>
      </c>
      <c r="F128" s="32">
        <v>16.55</v>
      </c>
      <c r="G128">
        <f t="shared" si="2"/>
        <v>0</v>
      </c>
      <c r="H128" s="49"/>
      <c r="I128">
        <f t="shared" si="3"/>
        <v>0</v>
      </c>
    </row>
    <row r="129" spans="1:9">
      <c r="A129">
        <v>98</v>
      </c>
      <c r="B129" s="10" t="s">
        <v>176</v>
      </c>
      <c r="C129" s="10" t="s">
        <v>192</v>
      </c>
      <c r="D129" s="11" t="s">
        <v>208</v>
      </c>
      <c r="E129" s="29" t="s">
        <v>72</v>
      </c>
      <c r="F129" s="32">
        <v>0</v>
      </c>
      <c r="G129">
        <f t="shared" si="2"/>
        <v>0</v>
      </c>
      <c r="H129" s="49"/>
      <c r="I129">
        <f t="shared" si="3"/>
        <v>0</v>
      </c>
    </row>
    <row r="130" spans="1:9">
      <c r="A130">
        <v>99</v>
      </c>
      <c r="B130" s="10" t="s">
        <v>177</v>
      </c>
      <c r="C130" s="10" t="s">
        <v>193</v>
      </c>
      <c r="D130" s="11" t="s">
        <v>209</v>
      </c>
      <c r="E130" s="29" t="s">
        <v>72</v>
      </c>
      <c r="F130" s="32">
        <v>9.5500000000000007</v>
      </c>
      <c r="G130">
        <f t="shared" si="2"/>
        <v>0</v>
      </c>
      <c r="H130" s="49"/>
      <c r="I130">
        <f t="shared" si="3"/>
        <v>0</v>
      </c>
    </row>
    <row r="131" spans="1:9">
      <c r="A131">
        <v>100</v>
      </c>
      <c r="B131" s="10" t="s">
        <v>178</v>
      </c>
      <c r="C131" s="10" t="s">
        <v>194</v>
      </c>
      <c r="D131" s="11" t="s">
        <v>210</v>
      </c>
      <c r="E131" s="29" t="s">
        <v>72</v>
      </c>
      <c r="F131" s="32">
        <v>14.51</v>
      </c>
      <c r="G131">
        <f t="shared" si="2"/>
        <v>0</v>
      </c>
      <c r="H131" s="49"/>
      <c r="I131">
        <f t="shared" si="3"/>
        <v>0</v>
      </c>
    </row>
    <row r="132" spans="1:9">
      <c r="A132">
        <v>101</v>
      </c>
      <c r="B132" s="10" t="s">
        <v>179</v>
      </c>
      <c r="C132" s="10" t="s">
        <v>195</v>
      </c>
      <c r="D132" s="11" t="s">
        <v>211</v>
      </c>
      <c r="E132" s="29" t="s">
        <v>72</v>
      </c>
      <c r="F132" s="32">
        <v>12.5</v>
      </c>
      <c r="G132">
        <f t="shared" si="2"/>
        <v>0</v>
      </c>
      <c r="H132" s="49"/>
      <c r="I132">
        <v>0</v>
      </c>
    </row>
    <row r="133" spans="1:9">
      <c r="A133">
        <v>102</v>
      </c>
      <c r="B133" s="10" t="s">
        <v>180</v>
      </c>
      <c r="C133" s="10" t="s">
        <v>196</v>
      </c>
      <c r="D133" s="11" t="s">
        <v>212</v>
      </c>
      <c r="E133" s="29" t="s">
        <v>72</v>
      </c>
      <c r="F133" s="32">
        <v>14.5</v>
      </c>
      <c r="G133">
        <f t="shared" si="2"/>
        <v>0</v>
      </c>
      <c r="H133" s="49"/>
      <c r="I133">
        <v>0</v>
      </c>
    </row>
    <row r="134" spans="1:9">
      <c r="A134">
        <v>103</v>
      </c>
      <c r="B134" s="10" t="s">
        <v>181</v>
      </c>
      <c r="C134" s="10" t="s">
        <v>197</v>
      </c>
      <c r="D134" s="11" t="s">
        <v>213</v>
      </c>
      <c r="E134" s="29" t="s">
        <v>72</v>
      </c>
      <c r="F134" s="32">
        <v>36.6</v>
      </c>
      <c r="G134">
        <f t="shared" si="2"/>
        <v>0</v>
      </c>
      <c r="H134" s="49"/>
      <c r="I134">
        <f t="shared" si="3"/>
        <v>0</v>
      </c>
    </row>
    <row r="135" spans="1:9">
      <c r="A135">
        <v>104</v>
      </c>
      <c r="B135" s="10" t="s">
        <v>214</v>
      </c>
      <c r="C135" s="10" t="s">
        <v>215</v>
      </c>
      <c r="D135" s="11" t="s">
        <v>216</v>
      </c>
      <c r="E135" s="29" t="s">
        <v>72</v>
      </c>
      <c r="F135" s="32">
        <v>3.75</v>
      </c>
      <c r="G135">
        <f t="shared" si="2"/>
        <v>0</v>
      </c>
      <c r="H135" s="49"/>
      <c r="I135">
        <f t="shared" si="3"/>
        <v>0</v>
      </c>
    </row>
    <row r="136" spans="1:9">
      <c r="A136">
        <v>105</v>
      </c>
      <c r="B136" s="10" t="s">
        <v>219</v>
      </c>
      <c r="C136" s="10" t="s">
        <v>217</v>
      </c>
      <c r="D136" s="11" t="s">
        <v>218</v>
      </c>
      <c r="E136" s="29" t="s">
        <v>72</v>
      </c>
      <c r="F136" s="32">
        <v>3.75</v>
      </c>
      <c r="G136">
        <f t="shared" si="2"/>
        <v>0</v>
      </c>
      <c r="H136" s="49"/>
      <c r="I136">
        <f t="shared" si="3"/>
        <v>0</v>
      </c>
    </row>
    <row r="137" spans="1:9">
      <c r="A137" s="5">
        <v>7</v>
      </c>
      <c r="B137" s="5" t="s">
        <v>325</v>
      </c>
      <c r="C137" s="5" t="s">
        <v>326</v>
      </c>
      <c r="D137" s="5" t="s">
        <v>327</v>
      </c>
      <c r="E137" s="5" t="s">
        <v>73</v>
      </c>
      <c r="F137" s="5" t="s">
        <v>74</v>
      </c>
      <c r="H137" s="49"/>
    </row>
    <row r="138" spans="1:9">
      <c r="A138" s="25"/>
      <c r="B138" s="25"/>
      <c r="C138" s="25"/>
      <c r="D138" s="41"/>
      <c r="E138" s="30"/>
      <c r="F138" s="38"/>
      <c r="G138">
        <f t="shared" si="2"/>
        <v>0</v>
      </c>
      <c r="H138" s="49"/>
      <c r="I138">
        <f t="shared" si="3"/>
        <v>0</v>
      </c>
    </row>
    <row r="139" spans="1:9">
      <c r="A139">
        <v>106</v>
      </c>
      <c r="B139" s="10" t="s">
        <v>328</v>
      </c>
      <c r="C139" s="10" t="s">
        <v>335</v>
      </c>
      <c r="D139" s="11" t="s">
        <v>342</v>
      </c>
      <c r="E139" s="30" t="s">
        <v>324</v>
      </c>
      <c r="F139" s="38">
        <v>1.75</v>
      </c>
      <c r="G139">
        <f t="shared" si="2"/>
        <v>0</v>
      </c>
      <c r="H139" s="49"/>
      <c r="I139">
        <f t="shared" ref="I139:I200" si="4">H139*F139</f>
        <v>0</v>
      </c>
    </row>
    <row r="140" spans="1:9">
      <c r="A140">
        <v>107</v>
      </c>
      <c r="B140" s="10" t="s">
        <v>329</v>
      </c>
      <c r="C140" s="10" t="s">
        <v>336</v>
      </c>
      <c r="D140" s="11" t="s">
        <v>343</v>
      </c>
      <c r="E140" s="30" t="s">
        <v>324</v>
      </c>
      <c r="F140" s="38">
        <v>1.82</v>
      </c>
      <c r="G140">
        <f t="shared" ref="G140:G203" si="5" xml:space="preserve"> F140*I140</f>
        <v>0</v>
      </c>
      <c r="H140" s="49"/>
      <c r="I140">
        <f t="shared" si="4"/>
        <v>0</v>
      </c>
    </row>
    <row r="141" spans="1:9">
      <c r="A141">
        <v>108</v>
      </c>
      <c r="B141" s="10" t="s">
        <v>330</v>
      </c>
      <c r="C141" s="10" t="s">
        <v>337</v>
      </c>
      <c r="D141" s="11" t="s">
        <v>344</v>
      </c>
      <c r="E141" s="30" t="s">
        <v>324</v>
      </c>
      <c r="F141" s="38">
        <v>1.93</v>
      </c>
      <c r="G141">
        <f t="shared" si="5"/>
        <v>0</v>
      </c>
      <c r="H141" s="49"/>
      <c r="I141">
        <f t="shared" si="4"/>
        <v>0</v>
      </c>
    </row>
    <row r="142" spans="1:9">
      <c r="A142">
        <v>109</v>
      </c>
      <c r="B142" s="10" t="s">
        <v>331</v>
      </c>
      <c r="C142" s="10" t="s">
        <v>338</v>
      </c>
      <c r="D142" s="11" t="s">
        <v>345</v>
      </c>
      <c r="E142" s="30" t="s">
        <v>324</v>
      </c>
      <c r="F142" s="38">
        <v>1.83</v>
      </c>
      <c r="G142">
        <f t="shared" si="5"/>
        <v>0</v>
      </c>
      <c r="H142" s="49"/>
      <c r="I142">
        <f t="shared" si="4"/>
        <v>0</v>
      </c>
    </row>
    <row r="143" spans="1:9">
      <c r="A143">
        <v>110</v>
      </c>
      <c r="B143" s="10" t="s">
        <v>332</v>
      </c>
      <c r="C143" s="10" t="s">
        <v>339</v>
      </c>
      <c r="D143" s="11" t="s">
        <v>346</v>
      </c>
      <c r="E143" s="30" t="s">
        <v>324</v>
      </c>
      <c r="F143" s="38">
        <v>2.1</v>
      </c>
      <c r="G143">
        <f t="shared" si="5"/>
        <v>0</v>
      </c>
      <c r="H143" s="49"/>
      <c r="I143">
        <v>0</v>
      </c>
    </row>
    <row r="144" spans="1:9">
      <c r="A144">
        <v>111</v>
      </c>
      <c r="B144" s="10" t="s">
        <v>333</v>
      </c>
      <c r="C144" s="10" t="s">
        <v>340</v>
      </c>
      <c r="D144" s="11" t="s">
        <v>347</v>
      </c>
      <c r="E144" s="30" t="s">
        <v>349</v>
      </c>
      <c r="F144" s="38">
        <v>2.7</v>
      </c>
      <c r="G144">
        <f t="shared" si="5"/>
        <v>0</v>
      </c>
      <c r="H144" s="49"/>
      <c r="I144">
        <f t="shared" si="4"/>
        <v>0</v>
      </c>
    </row>
    <row r="145" spans="1:9">
      <c r="A145">
        <v>112</v>
      </c>
      <c r="B145" s="10" t="s">
        <v>334</v>
      </c>
      <c r="C145" s="10" t="s">
        <v>341</v>
      </c>
      <c r="D145" s="11" t="s">
        <v>348</v>
      </c>
      <c r="E145" s="30" t="s">
        <v>324</v>
      </c>
      <c r="F145" s="38">
        <v>2.57</v>
      </c>
      <c r="G145">
        <f t="shared" si="5"/>
        <v>0</v>
      </c>
      <c r="H145" s="49"/>
      <c r="I145">
        <v>0</v>
      </c>
    </row>
    <row r="146" spans="1:9">
      <c r="A146" s="5">
        <v>9</v>
      </c>
      <c r="B146" s="5" t="s">
        <v>350</v>
      </c>
      <c r="C146" s="13" t="s">
        <v>351</v>
      </c>
      <c r="D146" s="5" t="s">
        <v>352</v>
      </c>
      <c r="E146" s="5" t="s">
        <v>73</v>
      </c>
      <c r="F146" s="5" t="s">
        <v>74</v>
      </c>
      <c r="H146" s="49"/>
    </row>
    <row r="147" spans="1:9">
      <c r="A147">
        <v>113</v>
      </c>
      <c r="B147" s="10" t="s">
        <v>353</v>
      </c>
      <c r="C147" s="10" t="s">
        <v>379</v>
      </c>
      <c r="D147" s="11" t="s">
        <v>404</v>
      </c>
      <c r="E147" s="30" t="s">
        <v>429</v>
      </c>
      <c r="F147" s="32">
        <v>0.78</v>
      </c>
      <c r="G147">
        <f t="shared" si="5"/>
        <v>78</v>
      </c>
      <c r="H147" s="49"/>
      <c r="I147">
        <v>100</v>
      </c>
    </row>
    <row r="148" spans="1:9">
      <c r="A148">
        <v>114</v>
      </c>
      <c r="B148" s="10" t="s">
        <v>354</v>
      </c>
      <c r="C148" s="10" t="s">
        <v>380</v>
      </c>
      <c r="D148" s="11" t="s">
        <v>405</v>
      </c>
      <c r="E148" s="30" t="s">
        <v>430</v>
      </c>
      <c r="F148" s="32">
        <v>1</v>
      </c>
      <c r="G148">
        <f t="shared" si="5"/>
        <v>0</v>
      </c>
      <c r="H148" s="49"/>
      <c r="I148">
        <f t="shared" si="4"/>
        <v>0</v>
      </c>
    </row>
    <row r="149" spans="1:9">
      <c r="A149">
        <v>115</v>
      </c>
      <c r="B149" s="10" t="s">
        <v>355</v>
      </c>
      <c r="C149" s="10" t="s">
        <v>381</v>
      </c>
      <c r="D149" s="11" t="s">
        <v>406</v>
      </c>
      <c r="E149" s="30" t="s">
        <v>430</v>
      </c>
      <c r="F149" s="32">
        <v>1.0900000000000001</v>
      </c>
      <c r="G149">
        <f t="shared" si="5"/>
        <v>0</v>
      </c>
      <c r="H149" s="49"/>
      <c r="I149">
        <f t="shared" si="4"/>
        <v>0</v>
      </c>
    </row>
    <row r="150" spans="1:9">
      <c r="A150">
        <v>116</v>
      </c>
      <c r="B150" s="10" t="s">
        <v>356</v>
      </c>
      <c r="C150" s="10" t="s">
        <v>382</v>
      </c>
      <c r="D150" s="11" t="s">
        <v>407</v>
      </c>
      <c r="E150" s="30" t="s">
        <v>429</v>
      </c>
      <c r="F150" s="32">
        <v>1.05</v>
      </c>
      <c r="G150">
        <f t="shared" si="5"/>
        <v>0</v>
      </c>
      <c r="H150" s="49"/>
      <c r="I150">
        <v>0</v>
      </c>
    </row>
    <row r="151" spans="1:9">
      <c r="A151">
        <v>117</v>
      </c>
      <c r="B151" s="10" t="s">
        <v>357</v>
      </c>
      <c r="C151" s="10" t="s">
        <v>383</v>
      </c>
      <c r="D151" s="11" t="s">
        <v>408</v>
      </c>
      <c r="E151" s="30" t="s">
        <v>431</v>
      </c>
      <c r="F151" s="32">
        <v>1.28</v>
      </c>
      <c r="G151">
        <f t="shared" si="5"/>
        <v>10.24</v>
      </c>
      <c r="H151" s="49"/>
      <c r="I151">
        <v>8</v>
      </c>
    </row>
    <row r="152" spans="1:9">
      <c r="A152">
        <v>118</v>
      </c>
      <c r="B152" s="10" t="s">
        <v>358</v>
      </c>
      <c r="C152" s="10" t="s">
        <v>384</v>
      </c>
      <c r="D152" s="11" t="s">
        <v>409</v>
      </c>
      <c r="E152" s="30" t="s">
        <v>431</v>
      </c>
      <c r="F152" s="32">
        <v>1.28</v>
      </c>
      <c r="G152">
        <f t="shared" si="5"/>
        <v>76.8</v>
      </c>
      <c r="H152" s="49"/>
      <c r="I152">
        <v>60</v>
      </c>
    </row>
    <row r="153" spans="1:9">
      <c r="A153">
        <v>119</v>
      </c>
      <c r="B153" s="10" t="s">
        <v>359</v>
      </c>
      <c r="C153" s="10" t="s">
        <v>385</v>
      </c>
      <c r="D153" s="11" t="s">
        <v>1328</v>
      </c>
      <c r="E153" s="30" t="s">
        <v>324</v>
      </c>
      <c r="F153" s="32">
        <v>1.34</v>
      </c>
      <c r="G153">
        <f t="shared" si="5"/>
        <v>0</v>
      </c>
      <c r="H153" s="49"/>
      <c r="I153">
        <v>0</v>
      </c>
    </row>
    <row r="154" spans="1:9">
      <c r="A154">
        <v>120</v>
      </c>
      <c r="B154" s="10" t="s">
        <v>360</v>
      </c>
      <c r="C154" s="10" t="s">
        <v>386</v>
      </c>
      <c r="D154" s="11" t="s">
        <v>410</v>
      </c>
      <c r="E154" s="30" t="s">
        <v>431</v>
      </c>
      <c r="F154" s="32">
        <v>1.27</v>
      </c>
      <c r="G154">
        <f t="shared" si="5"/>
        <v>0</v>
      </c>
      <c r="H154" s="49"/>
    </row>
    <row r="155" spans="1:9">
      <c r="A155">
        <v>121</v>
      </c>
      <c r="B155" s="10" t="s">
        <v>361</v>
      </c>
      <c r="C155" s="10" t="s">
        <v>387</v>
      </c>
      <c r="D155" s="11" t="s">
        <v>411</v>
      </c>
      <c r="E155" s="30" t="s">
        <v>431</v>
      </c>
      <c r="F155" s="32">
        <v>1.41</v>
      </c>
      <c r="G155">
        <f t="shared" si="5"/>
        <v>0</v>
      </c>
      <c r="H155" s="49"/>
      <c r="I155">
        <f t="shared" si="4"/>
        <v>0</v>
      </c>
    </row>
    <row r="156" spans="1:9">
      <c r="A156">
        <v>122</v>
      </c>
      <c r="B156" s="10" t="s">
        <v>362</v>
      </c>
      <c r="C156" s="10" t="s">
        <v>388</v>
      </c>
      <c r="D156" s="11" t="s">
        <v>412</v>
      </c>
      <c r="E156" s="30" t="s">
        <v>430</v>
      </c>
      <c r="F156" s="32">
        <v>1.71</v>
      </c>
      <c r="G156">
        <f t="shared" si="5"/>
        <v>0</v>
      </c>
      <c r="H156" s="49"/>
      <c r="I156">
        <v>0</v>
      </c>
    </row>
    <row r="157" spans="1:9">
      <c r="A157">
        <v>123</v>
      </c>
      <c r="B157" s="10" t="s">
        <v>363</v>
      </c>
      <c r="C157" s="10" t="s">
        <v>389</v>
      </c>
      <c r="D157" s="11" t="s">
        <v>413</v>
      </c>
      <c r="E157" s="30" t="s">
        <v>430</v>
      </c>
      <c r="F157" s="32">
        <v>1.55</v>
      </c>
      <c r="G157">
        <f t="shared" si="5"/>
        <v>0</v>
      </c>
      <c r="H157" s="49"/>
      <c r="I157">
        <v>0</v>
      </c>
    </row>
    <row r="158" spans="1:9">
      <c r="A158">
        <v>124</v>
      </c>
      <c r="B158" s="10" t="s">
        <v>364</v>
      </c>
      <c r="C158" s="10" t="s">
        <v>364</v>
      </c>
      <c r="D158" s="11" t="s">
        <v>414</v>
      </c>
      <c r="E158" s="30" t="s">
        <v>431</v>
      </c>
      <c r="F158" s="32">
        <v>1.39</v>
      </c>
      <c r="G158">
        <f t="shared" si="5"/>
        <v>0</v>
      </c>
      <c r="H158" s="49"/>
      <c r="I158">
        <f t="shared" si="4"/>
        <v>0</v>
      </c>
    </row>
    <row r="159" spans="1:9">
      <c r="A159">
        <v>125</v>
      </c>
      <c r="B159" s="10" t="s">
        <v>365</v>
      </c>
      <c r="C159" s="10" t="s">
        <v>390</v>
      </c>
      <c r="D159" s="11" t="s">
        <v>415</v>
      </c>
      <c r="E159" s="30" t="s">
        <v>430</v>
      </c>
      <c r="F159" s="32">
        <v>2.25</v>
      </c>
      <c r="G159">
        <f t="shared" si="5"/>
        <v>0</v>
      </c>
      <c r="H159" s="49"/>
      <c r="I159">
        <f t="shared" si="4"/>
        <v>0</v>
      </c>
    </row>
    <row r="160" spans="1:9">
      <c r="A160">
        <v>126</v>
      </c>
      <c r="B160" s="10" t="s">
        <v>366</v>
      </c>
      <c r="C160" s="10" t="s">
        <v>391</v>
      </c>
      <c r="D160" s="11" t="s">
        <v>416</v>
      </c>
      <c r="E160" s="30" t="s">
        <v>430</v>
      </c>
      <c r="F160" s="32">
        <v>1.93</v>
      </c>
      <c r="G160">
        <f t="shared" si="5"/>
        <v>0</v>
      </c>
      <c r="H160" s="49"/>
      <c r="I160">
        <f t="shared" si="4"/>
        <v>0</v>
      </c>
    </row>
    <row r="161" spans="1:9">
      <c r="A161">
        <v>127</v>
      </c>
      <c r="B161" s="10" t="s">
        <v>367</v>
      </c>
      <c r="C161" s="10" t="s">
        <v>392</v>
      </c>
      <c r="D161" s="11" t="s">
        <v>417</v>
      </c>
      <c r="E161" s="30" t="s">
        <v>430</v>
      </c>
      <c r="F161" s="32">
        <v>2.5</v>
      </c>
      <c r="G161">
        <f t="shared" si="5"/>
        <v>0</v>
      </c>
      <c r="H161" s="49"/>
      <c r="I161">
        <v>0</v>
      </c>
    </row>
    <row r="162" spans="1:9">
      <c r="A162">
        <v>128</v>
      </c>
      <c r="B162" s="10" t="s">
        <v>368</v>
      </c>
      <c r="C162" s="11" t="s">
        <v>393</v>
      </c>
      <c r="D162" s="11" t="s">
        <v>418</v>
      </c>
      <c r="E162" s="30" t="s">
        <v>431</v>
      </c>
      <c r="F162" s="32">
        <v>3.03</v>
      </c>
      <c r="G162">
        <f t="shared" si="5"/>
        <v>0</v>
      </c>
      <c r="H162" s="49"/>
      <c r="I162">
        <f t="shared" si="4"/>
        <v>0</v>
      </c>
    </row>
    <row r="163" spans="1:9">
      <c r="A163">
        <v>129</v>
      </c>
      <c r="B163" s="10" t="s">
        <v>369</v>
      </c>
      <c r="C163" s="10" t="s">
        <v>394</v>
      </c>
      <c r="D163" s="11" t="s">
        <v>419</v>
      </c>
      <c r="E163" s="30" t="s">
        <v>324</v>
      </c>
      <c r="F163" s="32">
        <v>3.4</v>
      </c>
      <c r="G163">
        <f t="shared" si="5"/>
        <v>20.399999999999999</v>
      </c>
      <c r="H163" s="49"/>
      <c r="I163">
        <v>6</v>
      </c>
    </row>
    <row r="164" spans="1:9">
      <c r="A164">
        <v>130</v>
      </c>
      <c r="B164" s="10" t="s">
        <v>370</v>
      </c>
      <c r="C164" s="10" t="s">
        <v>395</v>
      </c>
      <c r="D164" s="11" t="s">
        <v>420</v>
      </c>
      <c r="E164" s="30" t="s">
        <v>431</v>
      </c>
      <c r="F164" s="32">
        <v>2.93</v>
      </c>
      <c r="G164">
        <f t="shared" si="5"/>
        <v>0</v>
      </c>
      <c r="H164" s="49"/>
      <c r="I164">
        <f t="shared" si="4"/>
        <v>0</v>
      </c>
    </row>
    <row r="165" spans="1:9">
      <c r="A165">
        <v>131</v>
      </c>
      <c r="B165" s="10" t="s">
        <v>371</v>
      </c>
      <c r="C165" s="10" t="s">
        <v>396</v>
      </c>
      <c r="D165" s="11" t="s">
        <v>421</v>
      </c>
      <c r="E165" s="30" t="s">
        <v>430</v>
      </c>
      <c r="F165" s="32">
        <v>3.18</v>
      </c>
      <c r="G165">
        <f t="shared" si="5"/>
        <v>31.8</v>
      </c>
      <c r="H165" s="49"/>
      <c r="I165">
        <v>10</v>
      </c>
    </row>
    <row r="166" spans="1:9">
      <c r="A166">
        <v>132</v>
      </c>
      <c r="B166" s="10" t="s">
        <v>1159</v>
      </c>
      <c r="C166" s="10" t="s">
        <v>1158</v>
      </c>
      <c r="D166" s="11" t="s">
        <v>1157</v>
      </c>
      <c r="E166" s="30" t="s">
        <v>431</v>
      </c>
      <c r="F166" s="32">
        <v>3.23</v>
      </c>
      <c r="G166">
        <f t="shared" si="5"/>
        <v>0</v>
      </c>
      <c r="H166" s="49"/>
      <c r="I166">
        <f t="shared" si="4"/>
        <v>0</v>
      </c>
    </row>
    <row r="167" spans="1:9">
      <c r="B167" s="10" t="s">
        <v>1230</v>
      </c>
      <c r="C167" s="10" t="s">
        <v>1231</v>
      </c>
      <c r="D167" s="11" t="s">
        <v>1232</v>
      </c>
      <c r="E167" s="30" t="s">
        <v>159</v>
      </c>
      <c r="F167" s="32">
        <v>1.5</v>
      </c>
      <c r="G167">
        <f t="shared" si="5"/>
        <v>24</v>
      </c>
      <c r="H167" s="49"/>
      <c r="I167">
        <v>16</v>
      </c>
    </row>
    <row r="168" spans="1:9">
      <c r="A168">
        <v>133</v>
      </c>
      <c r="B168" s="10" t="s">
        <v>372</v>
      </c>
      <c r="C168" s="10" t="s">
        <v>397</v>
      </c>
      <c r="D168" s="11" t="s">
        <v>422</v>
      </c>
      <c r="E168" s="30" t="s">
        <v>72</v>
      </c>
      <c r="F168" s="32">
        <v>4.93</v>
      </c>
      <c r="G168">
        <f t="shared" si="5"/>
        <v>39.44</v>
      </c>
      <c r="H168" s="49"/>
      <c r="I168">
        <v>8</v>
      </c>
    </row>
    <row r="169" spans="1:9">
      <c r="A169">
        <v>134</v>
      </c>
      <c r="B169" s="10" t="s">
        <v>373</v>
      </c>
      <c r="C169" s="10" t="s">
        <v>398</v>
      </c>
      <c r="D169" s="11" t="s">
        <v>423</v>
      </c>
      <c r="E169" s="30" t="s">
        <v>72</v>
      </c>
      <c r="F169" s="32">
        <v>8.33</v>
      </c>
      <c r="G169">
        <f t="shared" si="5"/>
        <v>24.990000000000002</v>
      </c>
      <c r="H169" s="49"/>
      <c r="I169">
        <v>3</v>
      </c>
    </row>
    <row r="170" spans="1:9">
      <c r="A170">
        <v>135</v>
      </c>
      <c r="B170" s="10" t="s">
        <v>374</v>
      </c>
      <c r="C170" s="10" t="s">
        <v>399</v>
      </c>
      <c r="D170" s="11" t="s">
        <v>424</v>
      </c>
      <c r="E170" s="30" t="s">
        <v>72</v>
      </c>
      <c r="F170" s="32">
        <v>8.86</v>
      </c>
      <c r="G170">
        <f t="shared" si="5"/>
        <v>0</v>
      </c>
      <c r="H170" s="49"/>
      <c r="I170">
        <f t="shared" si="4"/>
        <v>0</v>
      </c>
    </row>
    <row r="171" spans="1:9">
      <c r="A171">
        <v>136</v>
      </c>
      <c r="B171" s="10" t="s">
        <v>375</v>
      </c>
      <c r="C171" s="10" t="s">
        <v>400</v>
      </c>
      <c r="D171" s="11" t="s">
        <v>425</v>
      </c>
      <c r="E171" s="30" t="s">
        <v>72</v>
      </c>
      <c r="F171" s="32">
        <v>6.99</v>
      </c>
      <c r="G171">
        <f t="shared" si="5"/>
        <v>34.950000000000003</v>
      </c>
      <c r="H171" s="49"/>
      <c r="I171">
        <v>5</v>
      </c>
    </row>
    <row r="172" spans="1:9">
      <c r="A172">
        <v>137</v>
      </c>
      <c r="B172" s="10" t="s">
        <v>376</v>
      </c>
      <c r="C172" s="10" t="s">
        <v>401</v>
      </c>
      <c r="D172" s="11" t="s">
        <v>426</v>
      </c>
      <c r="E172" s="30" t="s">
        <v>72</v>
      </c>
      <c r="F172" s="32">
        <v>8.44</v>
      </c>
      <c r="G172">
        <f t="shared" si="5"/>
        <v>126.6</v>
      </c>
      <c r="H172" s="49"/>
      <c r="I172">
        <v>15</v>
      </c>
    </row>
    <row r="173" spans="1:9">
      <c r="A173">
        <v>138</v>
      </c>
      <c r="B173" s="10" t="s">
        <v>377</v>
      </c>
      <c r="C173" s="11" t="s">
        <v>402</v>
      </c>
      <c r="D173" s="10" t="s">
        <v>427</v>
      </c>
      <c r="E173" s="30" t="s">
        <v>72</v>
      </c>
      <c r="F173" s="32">
        <v>11.5</v>
      </c>
      <c r="G173">
        <f t="shared" si="5"/>
        <v>0</v>
      </c>
      <c r="H173" s="49"/>
      <c r="I173">
        <f t="shared" si="4"/>
        <v>0</v>
      </c>
    </row>
    <row r="174" spans="1:9">
      <c r="A174">
        <v>139</v>
      </c>
      <c r="B174" s="10" t="s">
        <v>378</v>
      </c>
      <c r="C174" s="10" t="s">
        <v>403</v>
      </c>
      <c r="D174" s="11" t="s">
        <v>428</v>
      </c>
      <c r="E174" s="30" t="s">
        <v>72</v>
      </c>
      <c r="F174" s="32">
        <v>11.4</v>
      </c>
      <c r="G174">
        <f t="shared" si="5"/>
        <v>0</v>
      </c>
      <c r="H174" s="49"/>
      <c r="I174">
        <f t="shared" si="4"/>
        <v>0</v>
      </c>
    </row>
    <row r="175" spans="1:9">
      <c r="B175" s="10" t="s">
        <v>1233</v>
      </c>
      <c r="C175" s="10" t="s">
        <v>1234</v>
      </c>
      <c r="D175" s="11" t="s">
        <v>1235</v>
      </c>
      <c r="E175" s="30" t="s">
        <v>72</v>
      </c>
      <c r="F175" s="32">
        <v>9.8000000000000007</v>
      </c>
      <c r="G175">
        <f t="shared" si="5"/>
        <v>0</v>
      </c>
      <c r="H175" s="49"/>
      <c r="I175">
        <v>0</v>
      </c>
    </row>
    <row r="176" spans="1:9">
      <c r="B176" s="10" t="s">
        <v>1253</v>
      </c>
      <c r="C176" s="10" t="s">
        <v>1251</v>
      </c>
      <c r="D176" s="11" t="s">
        <v>1252</v>
      </c>
      <c r="E176" s="30" t="s">
        <v>159</v>
      </c>
      <c r="F176" s="32">
        <v>0.82</v>
      </c>
      <c r="G176">
        <f t="shared" si="5"/>
        <v>0</v>
      </c>
      <c r="H176" s="49"/>
      <c r="I176">
        <f t="shared" si="4"/>
        <v>0</v>
      </c>
    </row>
    <row r="177" spans="1:10">
      <c r="B177" s="10" t="s">
        <v>1259</v>
      </c>
      <c r="C177" s="10" t="s">
        <v>1258</v>
      </c>
      <c r="D177" s="11" t="s">
        <v>1257</v>
      </c>
      <c r="E177" s="30" t="s">
        <v>429</v>
      </c>
      <c r="F177" s="32">
        <v>0.82</v>
      </c>
      <c r="G177">
        <f t="shared" si="5"/>
        <v>0</v>
      </c>
      <c r="H177" s="49"/>
      <c r="I177">
        <f t="shared" si="4"/>
        <v>0</v>
      </c>
    </row>
    <row r="178" spans="1:10">
      <c r="B178" s="10"/>
      <c r="C178" s="10" t="s">
        <v>1273</v>
      </c>
      <c r="D178" s="11" t="s">
        <v>1274</v>
      </c>
      <c r="E178" s="30" t="s">
        <v>159</v>
      </c>
      <c r="F178" s="32">
        <v>3.5</v>
      </c>
      <c r="G178">
        <f t="shared" si="5"/>
        <v>0</v>
      </c>
      <c r="H178" s="49"/>
      <c r="I178">
        <v>0</v>
      </c>
    </row>
    <row r="179" spans="1:10">
      <c r="A179" s="5">
        <v>9</v>
      </c>
      <c r="B179" s="5" t="s">
        <v>432</v>
      </c>
      <c r="C179" s="5" t="s">
        <v>433</v>
      </c>
      <c r="D179" s="5" t="s">
        <v>434</v>
      </c>
      <c r="E179" s="5" t="s">
        <v>73</v>
      </c>
      <c r="F179" s="5" t="s">
        <v>74</v>
      </c>
      <c r="H179" s="49"/>
    </row>
    <row r="180" spans="1:10">
      <c r="A180">
        <v>140</v>
      </c>
      <c r="B180" s="10" t="s">
        <v>435</v>
      </c>
      <c r="C180" s="10" t="s">
        <v>464</v>
      </c>
      <c r="D180" s="11" t="s">
        <v>1165</v>
      </c>
      <c r="E180" s="30" t="s">
        <v>72</v>
      </c>
      <c r="F180" s="32">
        <v>0.85</v>
      </c>
      <c r="G180">
        <f t="shared" si="5"/>
        <v>21.25</v>
      </c>
      <c r="H180" s="49"/>
      <c r="I180">
        <v>25</v>
      </c>
    </row>
    <row r="181" spans="1:10">
      <c r="A181">
        <v>141</v>
      </c>
      <c r="B181" s="10" t="s">
        <v>1166</v>
      </c>
      <c r="C181" s="10" t="s">
        <v>465</v>
      </c>
      <c r="D181" s="11" t="s">
        <v>1161</v>
      </c>
      <c r="E181" s="30" t="s">
        <v>521</v>
      </c>
      <c r="F181" s="32">
        <v>0.65</v>
      </c>
      <c r="G181">
        <f t="shared" si="5"/>
        <v>0</v>
      </c>
      <c r="H181" s="49"/>
      <c r="I181">
        <v>0</v>
      </c>
    </row>
    <row r="182" spans="1:10">
      <c r="A182">
        <v>142</v>
      </c>
      <c r="B182" s="10" t="s">
        <v>436</v>
      </c>
      <c r="C182" s="10" t="s">
        <v>466</v>
      </c>
      <c r="D182" s="11" t="s">
        <v>496</v>
      </c>
      <c r="E182" s="30" t="s">
        <v>72</v>
      </c>
      <c r="F182" s="32">
        <v>0.85</v>
      </c>
      <c r="G182">
        <f t="shared" si="5"/>
        <v>25.5</v>
      </c>
      <c r="H182" s="49"/>
      <c r="I182">
        <v>30</v>
      </c>
    </row>
    <row r="183" spans="1:10">
      <c r="A183">
        <v>143</v>
      </c>
      <c r="B183" s="20" t="s">
        <v>437</v>
      </c>
      <c r="C183" s="20" t="s">
        <v>467</v>
      </c>
      <c r="D183" s="21" t="s">
        <v>1279</v>
      </c>
      <c r="E183" s="31" t="s">
        <v>72</v>
      </c>
      <c r="F183" s="32">
        <v>0.65</v>
      </c>
      <c r="G183">
        <f t="shared" si="5"/>
        <v>48.75</v>
      </c>
      <c r="H183" s="49"/>
      <c r="I183">
        <v>75</v>
      </c>
      <c r="J183" t="s">
        <v>1280</v>
      </c>
    </row>
    <row r="184" spans="1:10">
      <c r="B184" s="20" t="s">
        <v>437</v>
      </c>
      <c r="C184" s="20" t="s">
        <v>467</v>
      </c>
      <c r="D184" s="21" t="s">
        <v>1297</v>
      </c>
      <c r="E184" s="31"/>
      <c r="F184" s="32">
        <v>0.75</v>
      </c>
      <c r="G184">
        <f t="shared" si="5"/>
        <v>0</v>
      </c>
      <c r="H184" s="49"/>
      <c r="I184">
        <f t="shared" si="4"/>
        <v>0</v>
      </c>
    </row>
    <row r="185" spans="1:10">
      <c r="A185">
        <v>144</v>
      </c>
      <c r="B185" s="10" t="s">
        <v>438</v>
      </c>
      <c r="C185" s="10" t="s">
        <v>468</v>
      </c>
      <c r="D185" s="11" t="s">
        <v>497</v>
      </c>
      <c r="E185" s="30" t="s">
        <v>72</v>
      </c>
      <c r="F185" s="32">
        <v>0.6</v>
      </c>
      <c r="G185">
        <f t="shared" si="5"/>
        <v>6</v>
      </c>
      <c r="H185" s="49"/>
      <c r="I185">
        <v>10</v>
      </c>
    </row>
    <row r="186" spans="1:10">
      <c r="A186">
        <v>145</v>
      </c>
      <c r="B186" s="10" t="s">
        <v>439</v>
      </c>
      <c r="C186" s="10" t="s">
        <v>469</v>
      </c>
      <c r="D186" s="11" t="s">
        <v>498</v>
      </c>
      <c r="E186" s="30" t="s">
        <v>72</v>
      </c>
      <c r="F186" s="32">
        <v>0.8</v>
      </c>
      <c r="G186">
        <f t="shared" si="5"/>
        <v>16</v>
      </c>
      <c r="H186" s="49"/>
      <c r="I186">
        <v>20</v>
      </c>
    </row>
    <row r="187" spans="1:10">
      <c r="A187">
        <v>146</v>
      </c>
      <c r="B187" s="10" t="s">
        <v>1167</v>
      </c>
      <c r="C187" s="10" t="s">
        <v>470</v>
      </c>
      <c r="D187" s="11" t="s">
        <v>1162</v>
      </c>
      <c r="E187" s="30" t="s">
        <v>522</v>
      </c>
      <c r="F187" s="32">
        <v>0.85</v>
      </c>
      <c r="G187">
        <f t="shared" si="5"/>
        <v>8.5</v>
      </c>
      <c r="H187" s="49"/>
      <c r="I187">
        <v>10</v>
      </c>
    </row>
    <row r="188" spans="1:10">
      <c r="A188">
        <v>147</v>
      </c>
      <c r="B188" s="10" t="s">
        <v>1168</v>
      </c>
      <c r="C188" s="10" t="s">
        <v>471</v>
      </c>
      <c r="D188" s="11" t="s">
        <v>1163</v>
      </c>
      <c r="E188" s="30" t="s">
        <v>521</v>
      </c>
      <c r="F188" s="32">
        <v>0.85</v>
      </c>
      <c r="G188">
        <f t="shared" si="5"/>
        <v>8.5</v>
      </c>
      <c r="H188" s="49"/>
      <c r="I188">
        <v>10</v>
      </c>
    </row>
    <row r="189" spans="1:10">
      <c r="A189">
        <v>148</v>
      </c>
      <c r="B189" s="10" t="s">
        <v>440</v>
      </c>
      <c r="C189" s="10" t="s">
        <v>472</v>
      </c>
      <c r="D189" s="11" t="s">
        <v>1164</v>
      </c>
      <c r="E189" s="30" t="s">
        <v>521</v>
      </c>
      <c r="F189" s="32">
        <v>0.85</v>
      </c>
      <c r="G189">
        <f t="shared" si="5"/>
        <v>8.5</v>
      </c>
      <c r="H189" s="49"/>
      <c r="I189">
        <v>10</v>
      </c>
    </row>
    <row r="190" spans="1:10">
      <c r="A190">
        <v>149</v>
      </c>
      <c r="B190" s="10" t="s">
        <v>441</v>
      </c>
      <c r="C190" s="10" t="s">
        <v>473</v>
      </c>
      <c r="D190" s="11" t="s">
        <v>499</v>
      </c>
      <c r="E190" s="30" t="s">
        <v>72</v>
      </c>
      <c r="F190" s="32">
        <v>1.5</v>
      </c>
      <c r="G190">
        <f t="shared" si="5"/>
        <v>0</v>
      </c>
      <c r="H190" s="49"/>
      <c r="I190">
        <f t="shared" si="4"/>
        <v>0</v>
      </c>
    </row>
    <row r="191" spans="1:10">
      <c r="A191">
        <v>150</v>
      </c>
      <c r="B191" s="10" t="s">
        <v>442</v>
      </c>
      <c r="C191" s="10" t="s">
        <v>474</v>
      </c>
      <c r="D191" s="11" t="s">
        <v>500</v>
      </c>
      <c r="E191" s="30" t="s">
        <v>72</v>
      </c>
      <c r="F191" s="32">
        <v>1.5</v>
      </c>
      <c r="G191">
        <f t="shared" si="5"/>
        <v>7.5</v>
      </c>
      <c r="H191" s="49"/>
      <c r="I191">
        <v>5</v>
      </c>
    </row>
    <row r="192" spans="1:10">
      <c r="A192">
        <v>151</v>
      </c>
      <c r="B192" s="10" t="s">
        <v>443</v>
      </c>
      <c r="C192" s="10" t="s">
        <v>475</v>
      </c>
      <c r="D192" s="11" t="s">
        <v>501</v>
      </c>
      <c r="E192" s="30" t="s">
        <v>159</v>
      </c>
      <c r="F192" s="32">
        <v>1.5</v>
      </c>
      <c r="G192">
        <f t="shared" si="5"/>
        <v>7.5</v>
      </c>
      <c r="H192" s="49"/>
      <c r="I192">
        <v>5</v>
      </c>
    </row>
    <row r="193" spans="1:10">
      <c r="A193">
        <v>152</v>
      </c>
      <c r="B193" s="10" t="s">
        <v>444</v>
      </c>
      <c r="C193" s="10" t="s">
        <v>476</v>
      </c>
      <c r="D193" s="11" t="s">
        <v>502</v>
      </c>
      <c r="E193" s="30" t="s">
        <v>159</v>
      </c>
      <c r="F193" s="32">
        <v>0</v>
      </c>
      <c r="G193">
        <f t="shared" si="5"/>
        <v>0</v>
      </c>
      <c r="H193" s="49"/>
      <c r="I193">
        <f t="shared" si="4"/>
        <v>0</v>
      </c>
    </row>
    <row r="194" spans="1:10">
      <c r="A194">
        <v>153</v>
      </c>
      <c r="B194" s="10" t="s">
        <v>445</v>
      </c>
      <c r="C194" s="10" t="s">
        <v>477</v>
      </c>
      <c r="D194" s="11" t="s">
        <v>503</v>
      </c>
      <c r="E194" s="30" t="s">
        <v>159</v>
      </c>
      <c r="F194" s="32">
        <v>0.78</v>
      </c>
      <c r="G194">
        <f t="shared" si="5"/>
        <v>7.8000000000000007</v>
      </c>
      <c r="H194" s="49"/>
      <c r="I194">
        <v>10</v>
      </c>
    </row>
    <row r="195" spans="1:10">
      <c r="A195">
        <v>154</v>
      </c>
      <c r="B195" s="10" t="s">
        <v>446</v>
      </c>
      <c r="C195" s="10" t="s">
        <v>478</v>
      </c>
      <c r="D195" s="11" t="s">
        <v>504</v>
      </c>
      <c r="E195" s="30" t="s">
        <v>159</v>
      </c>
      <c r="F195" s="32">
        <v>2.4</v>
      </c>
      <c r="G195">
        <f t="shared" si="5"/>
        <v>9.6</v>
      </c>
      <c r="H195" s="49"/>
      <c r="I195">
        <v>4</v>
      </c>
    </row>
    <row r="196" spans="1:10">
      <c r="A196">
        <v>155</v>
      </c>
      <c r="B196" s="10" t="s">
        <v>447</v>
      </c>
      <c r="C196" s="10" t="s">
        <v>479</v>
      </c>
      <c r="D196" s="11" t="s">
        <v>505</v>
      </c>
      <c r="E196" s="30" t="s">
        <v>72</v>
      </c>
      <c r="F196" s="32">
        <v>1.6</v>
      </c>
      <c r="G196">
        <f t="shared" si="5"/>
        <v>0</v>
      </c>
      <c r="H196" s="49"/>
      <c r="I196">
        <f t="shared" si="4"/>
        <v>0</v>
      </c>
    </row>
    <row r="197" spans="1:10">
      <c r="A197">
        <v>156</v>
      </c>
      <c r="B197" s="10" t="s">
        <v>448</v>
      </c>
      <c r="C197" s="10" t="s">
        <v>480</v>
      </c>
      <c r="D197" s="11" t="s">
        <v>506</v>
      </c>
      <c r="E197" s="30" t="s">
        <v>159</v>
      </c>
      <c r="F197" s="32">
        <v>1.5</v>
      </c>
      <c r="G197">
        <f t="shared" si="5"/>
        <v>0</v>
      </c>
      <c r="H197" s="49"/>
      <c r="I197">
        <f t="shared" si="4"/>
        <v>0</v>
      </c>
    </row>
    <row r="198" spans="1:10">
      <c r="A198">
        <v>157</v>
      </c>
      <c r="B198" s="10" t="s">
        <v>449</v>
      </c>
      <c r="C198" s="10" t="s">
        <v>481</v>
      </c>
      <c r="D198" s="11" t="s">
        <v>507</v>
      </c>
      <c r="E198" s="30" t="s">
        <v>159</v>
      </c>
      <c r="F198" s="32">
        <v>2.4</v>
      </c>
      <c r="G198">
        <f t="shared" si="5"/>
        <v>0</v>
      </c>
      <c r="H198" s="49"/>
      <c r="I198">
        <v>0</v>
      </c>
    </row>
    <row r="199" spans="1:10">
      <c r="A199">
        <v>158</v>
      </c>
      <c r="B199" s="10" t="s">
        <v>450</v>
      </c>
      <c r="C199" s="10" t="s">
        <v>482</v>
      </c>
      <c r="D199" s="11" t="s">
        <v>508</v>
      </c>
      <c r="E199" s="30" t="s">
        <v>72</v>
      </c>
      <c r="F199" s="32">
        <v>1.65</v>
      </c>
      <c r="G199">
        <f t="shared" si="5"/>
        <v>0</v>
      </c>
      <c r="H199" s="49"/>
      <c r="I199">
        <f t="shared" si="4"/>
        <v>0</v>
      </c>
    </row>
    <row r="200" spans="1:10">
      <c r="A200">
        <v>159</v>
      </c>
      <c r="B200" s="10" t="s">
        <v>451</v>
      </c>
      <c r="C200" s="10" t="s">
        <v>483</v>
      </c>
      <c r="D200" s="11" t="s">
        <v>509</v>
      </c>
      <c r="E200" s="30" t="s">
        <v>72</v>
      </c>
      <c r="F200" s="32">
        <v>1.4</v>
      </c>
      <c r="G200">
        <f t="shared" si="5"/>
        <v>0</v>
      </c>
      <c r="H200" s="49"/>
      <c r="I200">
        <f t="shared" si="4"/>
        <v>0</v>
      </c>
    </row>
    <row r="201" spans="1:10">
      <c r="A201">
        <v>160</v>
      </c>
      <c r="B201" s="10" t="s">
        <v>452</v>
      </c>
      <c r="C201" s="10" t="s">
        <v>484</v>
      </c>
      <c r="D201" s="11" t="s">
        <v>510</v>
      </c>
      <c r="E201" s="30" t="s">
        <v>159</v>
      </c>
      <c r="F201" s="32">
        <v>2.65</v>
      </c>
      <c r="G201">
        <f t="shared" si="5"/>
        <v>0</v>
      </c>
      <c r="H201" s="49"/>
      <c r="I201">
        <v>0</v>
      </c>
    </row>
    <row r="202" spans="1:10">
      <c r="A202">
        <v>161</v>
      </c>
      <c r="B202" s="10" t="s">
        <v>453</v>
      </c>
      <c r="C202" s="10" t="s">
        <v>485</v>
      </c>
      <c r="D202" s="11" t="s">
        <v>1276</v>
      </c>
      <c r="E202" s="30" t="s">
        <v>72</v>
      </c>
      <c r="F202" s="32">
        <v>6.33</v>
      </c>
      <c r="G202">
        <f t="shared" si="5"/>
        <v>37.980000000000004</v>
      </c>
      <c r="H202" s="49"/>
      <c r="I202">
        <v>6</v>
      </c>
      <c r="J202" t="s">
        <v>1281</v>
      </c>
    </row>
    <row r="203" spans="1:10">
      <c r="B203" s="10" t="s">
        <v>453</v>
      </c>
      <c r="C203" s="10" t="s">
        <v>485</v>
      </c>
      <c r="D203" s="11" t="s">
        <v>1277</v>
      </c>
      <c r="E203" s="30" t="s">
        <v>72</v>
      </c>
      <c r="F203" s="32">
        <v>4.2</v>
      </c>
      <c r="G203">
        <f t="shared" si="5"/>
        <v>0</v>
      </c>
      <c r="H203" s="49"/>
      <c r="I203">
        <f t="shared" ref="I203:I266" si="6">H203*F203</f>
        <v>0</v>
      </c>
      <c r="J203" t="s">
        <v>1281</v>
      </c>
    </row>
    <row r="204" spans="1:10">
      <c r="A204">
        <v>162</v>
      </c>
      <c r="B204" s="10" t="s">
        <v>454</v>
      </c>
      <c r="C204" s="10" t="s">
        <v>486</v>
      </c>
      <c r="D204" s="11" t="s">
        <v>511</v>
      </c>
      <c r="E204" s="30" t="s">
        <v>72</v>
      </c>
      <c r="F204" s="32">
        <v>4.0999999999999996</v>
      </c>
      <c r="G204">
        <f t="shared" ref="G204:G267" si="7" xml:space="preserve"> F204*I204</f>
        <v>12.299999999999999</v>
      </c>
      <c r="H204" s="49"/>
      <c r="I204">
        <v>3</v>
      </c>
    </row>
    <row r="205" spans="1:10">
      <c r="A205">
        <v>163</v>
      </c>
      <c r="B205" s="10" t="s">
        <v>455</v>
      </c>
      <c r="C205" s="10" t="s">
        <v>487</v>
      </c>
      <c r="D205" s="11" t="s">
        <v>512</v>
      </c>
      <c r="E205" s="30" t="s">
        <v>72</v>
      </c>
      <c r="F205" s="32">
        <v>4.0999999999999996</v>
      </c>
      <c r="G205">
        <f t="shared" si="7"/>
        <v>24.599999999999998</v>
      </c>
      <c r="H205" s="49"/>
      <c r="I205">
        <v>6</v>
      </c>
    </row>
    <row r="206" spans="1:10">
      <c r="A206">
        <v>164</v>
      </c>
      <c r="B206" s="10" t="s">
        <v>456</v>
      </c>
      <c r="C206" s="10" t="s">
        <v>488</v>
      </c>
      <c r="D206" s="11" t="s">
        <v>513</v>
      </c>
      <c r="E206" s="30" t="s">
        <v>72</v>
      </c>
      <c r="F206" s="32">
        <v>4.55</v>
      </c>
      <c r="G206">
        <f t="shared" si="7"/>
        <v>9.1</v>
      </c>
      <c r="H206" s="49"/>
      <c r="I206">
        <v>2</v>
      </c>
    </row>
    <row r="207" spans="1:10">
      <c r="A207">
        <v>165</v>
      </c>
      <c r="B207" s="10" t="s">
        <v>457</v>
      </c>
      <c r="C207" s="10" t="s">
        <v>489</v>
      </c>
      <c r="D207" s="11" t="s">
        <v>514</v>
      </c>
      <c r="E207" s="30" t="s">
        <v>72</v>
      </c>
      <c r="F207" s="32">
        <v>4.0999999999999996</v>
      </c>
      <c r="G207">
        <f t="shared" si="7"/>
        <v>20.5</v>
      </c>
      <c r="H207" s="49"/>
      <c r="I207">
        <v>5</v>
      </c>
    </row>
    <row r="208" spans="1:10">
      <c r="A208">
        <v>166</v>
      </c>
      <c r="B208" s="10" t="s">
        <v>458</v>
      </c>
      <c r="C208" s="10" t="s">
        <v>490</v>
      </c>
      <c r="D208" s="11" t="s">
        <v>515</v>
      </c>
      <c r="E208" s="30" t="s">
        <v>72</v>
      </c>
      <c r="F208" s="32">
        <v>4.0999999999999996</v>
      </c>
      <c r="G208">
        <f t="shared" si="7"/>
        <v>0</v>
      </c>
      <c r="H208" s="49"/>
    </row>
    <row r="209" spans="1:9">
      <c r="A209">
        <v>167</v>
      </c>
      <c r="B209" s="10" t="s">
        <v>459</v>
      </c>
      <c r="C209" s="10" t="s">
        <v>491</v>
      </c>
      <c r="D209" s="11" t="s">
        <v>516</v>
      </c>
      <c r="E209" s="30" t="s">
        <v>72</v>
      </c>
      <c r="F209" s="32">
        <v>4.55</v>
      </c>
      <c r="G209">
        <f t="shared" si="7"/>
        <v>0</v>
      </c>
      <c r="H209" s="49"/>
      <c r="I209">
        <f t="shared" si="6"/>
        <v>0</v>
      </c>
    </row>
    <row r="210" spans="1:9">
      <c r="A210">
        <v>168</v>
      </c>
      <c r="B210" s="10" t="s">
        <v>460</v>
      </c>
      <c r="C210" s="10" t="s">
        <v>492</v>
      </c>
      <c r="D210" s="11" t="s">
        <v>517</v>
      </c>
      <c r="E210" s="30" t="s">
        <v>72</v>
      </c>
      <c r="F210" s="32">
        <v>4.55</v>
      </c>
      <c r="G210">
        <f t="shared" si="7"/>
        <v>9.1</v>
      </c>
      <c r="H210" s="49"/>
      <c r="I210">
        <v>2</v>
      </c>
    </row>
    <row r="211" spans="1:9">
      <c r="A211">
        <v>169</v>
      </c>
      <c r="B211" s="10" t="s">
        <v>461</v>
      </c>
      <c r="C211" s="10" t="s">
        <v>493</v>
      </c>
      <c r="D211" s="11" t="s">
        <v>518</v>
      </c>
      <c r="E211" s="30" t="s">
        <v>72</v>
      </c>
      <c r="F211" s="32">
        <v>7.2</v>
      </c>
      <c r="G211">
        <f t="shared" si="7"/>
        <v>7.2</v>
      </c>
      <c r="H211" s="49"/>
      <c r="I211">
        <v>1</v>
      </c>
    </row>
    <row r="212" spans="1:9">
      <c r="A212">
        <v>170</v>
      </c>
      <c r="B212" s="10" t="s">
        <v>462</v>
      </c>
      <c r="C212" s="10" t="s">
        <v>494</v>
      </c>
      <c r="D212" s="11" t="s">
        <v>519</v>
      </c>
      <c r="E212" s="30" t="s">
        <v>72</v>
      </c>
      <c r="F212" s="32">
        <v>5.0999999999999996</v>
      </c>
      <c r="G212">
        <f t="shared" si="7"/>
        <v>0</v>
      </c>
      <c r="H212" s="49"/>
      <c r="I212">
        <f t="shared" si="6"/>
        <v>0</v>
      </c>
    </row>
    <row r="213" spans="1:9">
      <c r="A213">
        <v>171</v>
      </c>
      <c r="B213" s="10" t="s">
        <v>463</v>
      </c>
      <c r="C213" s="10" t="s">
        <v>495</v>
      </c>
      <c r="D213" s="11" t="s">
        <v>520</v>
      </c>
      <c r="E213" s="30" t="s">
        <v>72</v>
      </c>
      <c r="F213" s="32">
        <v>22</v>
      </c>
      <c r="G213">
        <f t="shared" si="7"/>
        <v>0</v>
      </c>
      <c r="H213" s="49"/>
      <c r="I213">
        <v>0</v>
      </c>
    </row>
    <row r="214" spans="1:9">
      <c r="A214">
        <v>172</v>
      </c>
      <c r="B214" s="20" t="s">
        <v>1298</v>
      </c>
      <c r="C214" s="20" t="s">
        <v>1298</v>
      </c>
      <c r="D214" s="21" t="s">
        <v>1298</v>
      </c>
      <c r="E214" s="30" t="s">
        <v>72</v>
      </c>
      <c r="F214" s="32">
        <v>0</v>
      </c>
      <c r="G214">
        <f t="shared" si="7"/>
        <v>0</v>
      </c>
      <c r="H214" s="49"/>
      <c r="I214">
        <f t="shared" si="6"/>
        <v>0</v>
      </c>
    </row>
    <row r="215" spans="1:9">
      <c r="B215" s="20" t="s">
        <v>1336</v>
      </c>
      <c r="C215" s="20" t="s">
        <v>1335</v>
      </c>
      <c r="D215" s="20" t="s">
        <v>1335</v>
      </c>
      <c r="E215" s="30" t="s">
        <v>159</v>
      </c>
      <c r="F215" s="32">
        <v>2.5</v>
      </c>
      <c r="G215">
        <f t="shared" si="7"/>
        <v>0</v>
      </c>
      <c r="H215" s="49"/>
      <c r="I215">
        <f t="shared" si="6"/>
        <v>0</v>
      </c>
    </row>
    <row r="216" spans="1:9">
      <c r="A216" s="5">
        <v>11</v>
      </c>
      <c r="B216" s="5" t="s">
        <v>523</v>
      </c>
      <c r="C216" s="13" t="s">
        <v>524</v>
      </c>
      <c r="D216" s="5" t="s">
        <v>525</v>
      </c>
      <c r="E216" s="5" t="s">
        <v>73</v>
      </c>
      <c r="F216" s="5" t="s">
        <v>74</v>
      </c>
      <c r="H216" s="49"/>
    </row>
    <row r="217" spans="1:9">
      <c r="A217">
        <v>173</v>
      </c>
      <c r="B217" s="10" t="s">
        <v>526</v>
      </c>
      <c r="C217" s="10" t="s">
        <v>527</v>
      </c>
      <c r="D217" s="11" t="s">
        <v>528</v>
      </c>
      <c r="E217" s="30" t="s">
        <v>72</v>
      </c>
      <c r="F217" s="32">
        <v>3</v>
      </c>
      <c r="G217">
        <f t="shared" si="7"/>
        <v>18</v>
      </c>
      <c r="H217" s="49"/>
      <c r="I217">
        <v>6</v>
      </c>
    </row>
    <row r="218" spans="1:9">
      <c r="A218">
        <v>174</v>
      </c>
      <c r="B218" s="10" t="s">
        <v>529</v>
      </c>
      <c r="C218" s="10" t="s">
        <v>530</v>
      </c>
      <c r="D218" s="11" t="s">
        <v>531</v>
      </c>
      <c r="E218" s="30" t="s">
        <v>72</v>
      </c>
      <c r="F218" s="32">
        <v>3</v>
      </c>
      <c r="G218">
        <f t="shared" si="7"/>
        <v>0</v>
      </c>
      <c r="H218" s="49"/>
      <c r="I218">
        <v>0</v>
      </c>
    </row>
    <row r="219" spans="1:9">
      <c r="A219">
        <v>175</v>
      </c>
      <c r="B219" s="10" t="s">
        <v>532</v>
      </c>
      <c r="C219" s="10" t="s">
        <v>533</v>
      </c>
      <c r="D219" s="11" t="s">
        <v>534</v>
      </c>
      <c r="E219" s="30" t="s">
        <v>72</v>
      </c>
      <c r="F219" s="32">
        <v>3.4</v>
      </c>
      <c r="G219">
        <f t="shared" si="7"/>
        <v>20.399999999999999</v>
      </c>
      <c r="H219" s="49"/>
      <c r="I219">
        <v>6</v>
      </c>
    </row>
    <row r="220" spans="1:9">
      <c r="A220">
        <v>176</v>
      </c>
      <c r="B220" s="10" t="s">
        <v>535</v>
      </c>
      <c r="C220" s="10" t="s">
        <v>536</v>
      </c>
      <c r="D220" s="11" t="s">
        <v>537</v>
      </c>
      <c r="E220" s="30" t="s">
        <v>72</v>
      </c>
      <c r="F220" s="32">
        <v>5.5</v>
      </c>
      <c r="G220">
        <f t="shared" si="7"/>
        <v>0</v>
      </c>
      <c r="H220" s="49"/>
      <c r="I220">
        <f t="shared" si="6"/>
        <v>0</v>
      </c>
    </row>
    <row r="221" spans="1:9">
      <c r="A221">
        <v>177</v>
      </c>
      <c r="B221" s="10" t="s">
        <v>538</v>
      </c>
      <c r="C221" s="10" t="s">
        <v>539</v>
      </c>
      <c r="D221" s="11" t="s">
        <v>540</v>
      </c>
      <c r="E221" s="30" t="s">
        <v>72</v>
      </c>
      <c r="F221" s="32">
        <v>0</v>
      </c>
      <c r="G221">
        <f t="shared" si="7"/>
        <v>0</v>
      </c>
      <c r="H221" s="49"/>
      <c r="I221">
        <f t="shared" si="6"/>
        <v>0</v>
      </c>
    </row>
    <row r="222" spans="1:9">
      <c r="A222">
        <v>178</v>
      </c>
      <c r="B222" s="10" t="s">
        <v>541</v>
      </c>
      <c r="C222" s="10" t="s">
        <v>542</v>
      </c>
      <c r="D222" s="11" t="s">
        <v>543</v>
      </c>
      <c r="E222" s="30" t="s">
        <v>72</v>
      </c>
      <c r="F222" s="32">
        <v>1.55</v>
      </c>
      <c r="G222">
        <f t="shared" si="7"/>
        <v>0</v>
      </c>
      <c r="H222" s="49"/>
      <c r="I222">
        <v>0</v>
      </c>
    </row>
    <row r="223" spans="1:9">
      <c r="A223">
        <v>179</v>
      </c>
      <c r="B223" s="10" t="s">
        <v>544</v>
      </c>
      <c r="C223" s="10" t="s">
        <v>545</v>
      </c>
      <c r="D223" s="11" t="s">
        <v>546</v>
      </c>
      <c r="E223" s="30" t="s">
        <v>72</v>
      </c>
      <c r="F223" s="32">
        <v>1.4</v>
      </c>
      <c r="G223">
        <f t="shared" si="7"/>
        <v>14</v>
      </c>
      <c r="H223" s="49"/>
      <c r="I223">
        <v>10</v>
      </c>
    </row>
    <row r="224" spans="1:9">
      <c r="A224">
        <v>180</v>
      </c>
      <c r="B224" s="10" t="s">
        <v>547</v>
      </c>
      <c r="C224" s="10" t="s">
        <v>548</v>
      </c>
      <c r="D224" s="11" t="s">
        <v>549</v>
      </c>
      <c r="E224" s="30" t="s">
        <v>72</v>
      </c>
      <c r="F224" s="32">
        <v>3.1</v>
      </c>
      <c r="G224">
        <f t="shared" si="7"/>
        <v>0</v>
      </c>
      <c r="H224" s="49"/>
      <c r="I224">
        <f t="shared" si="6"/>
        <v>0</v>
      </c>
    </row>
    <row r="225" spans="1:9">
      <c r="A225">
        <v>181</v>
      </c>
      <c r="B225" s="10" t="s">
        <v>550</v>
      </c>
      <c r="C225" s="10" t="s">
        <v>551</v>
      </c>
      <c r="D225" s="11" t="s">
        <v>552</v>
      </c>
      <c r="E225" s="30" t="s">
        <v>72</v>
      </c>
      <c r="F225" s="32">
        <v>3.2</v>
      </c>
      <c r="G225">
        <f t="shared" si="7"/>
        <v>32</v>
      </c>
      <c r="H225" s="49"/>
      <c r="I225">
        <v>10</v>
      </c>
    </row>
    <row r="226" spans="1:9">
      <c r="A226">
        <v>182</v>
      </c>
      <c r="B226" s="10" t="s">
        <v>553</v>
      </c>
      <c r="C226" s="10" t="s">
        <v>554</v>
      </c>
      <c r="D226" s="11" t="s">
        <v>555</v>
      </c>
      <c r="E226" s="30" t="s">
        <v>72</v>
      </c>
      <c r="F226" s="32">
        <v>3.2</v>
      </c>
      <c r="G226">
        <f t="shared" si="7"/>
        <v>16</v>
      </c>
      <c r="H226" s="49"/>
      <c r="I226">
        <v>5</v>
      </c>
    </row>
    <row r="227" spans="1:9">
      <c r="A227">
        <v>183</v>
      </c>
      <c r="B227" s="10" t="s">
        <v>556</v>
      </c>
      <c r="C227" s="10" t="s">
        <v>557</v>
      </c>
      <c r="D227" s="11" t="s">
        <v>558</v>
      </c>
      <c r="E227" s="30" t="s">
        <v>72</v>
      </c>
      <c r="F227" s="32">
        <v>1.91</v>
      </c>
      <c r="G227">
        <f t="shared" si="7"/>
        <v>19.099999999999998</v>
      </c>
      <c r="H227" s="49"/>
      <c r="I227">
        <v>10</v>
      </c>
    </row>
    <row r="228" spans="1:9">
      <c r="A228">
        <v>184</v>
      </c>
      <c r="B228" s="10" t="s">
        <v>559</v>
      </c>
      <c r="C228" s="10" t="s">
        <v>560</v>
      </c>
      <c r="D228" s="11" t="s">
        <v>561</v>
      </c>
      <c r="E228" s="30" t="s">
        <v>72</v>
      </c>
      <c r="F228" s="32">
        <v>3.1</v>
      </c>
      <c r="G228">
        <f t="shared" si="7"/>
        <v>6.2</v>
      </c>
      <c r="H228" s="49"/>
      <c r="I228">
        <v>2</v>
      </c>
    </row>
    <row r="229" spans="1:9">
      <c r="A229">
        <v>185</v>
      </c>
      <c r="B229" s="10" t="s">
        <v>562</v>
      </c>
      <c r="C229" s="10" t="s">
        <v>563</v>
      </c>
      <c r="D229" s="11" t="s">
        <v>564</v>
      </c>
      <c r="E229" s="30" t="s">
        <v>72</v>
      </c>
      <c r="F229" s="32">
        <v>3.4</v>
      </c>
      <c r="G229">
        <f t="shared" si="7"/>
        <v>0</v>
      </c>
      <c r="H229" s="49"/>
      <c r="I229">
        <f t="shared" si="6"/>
        <v>0</v>
      </c>
    </row>
    <row r="230" spans="1:9">
      <c r="A230">
        <v>186</v>
      </c>
      <c r="B230" s="10" t="s">
        <v>565</v>
      </c>
      <c r="C230" s="10" t="s">
        <v>565</v>
      </c>
      <c r="D230" s="11" t="s">
        <v>566</v>
      </c>
      <c r="E230" s="30" t="s">
        <v>72</v>
      </c>
      <c r="F230" s="32">
        <v>6.5</v>
      </c>
      <c r="G230">
        <f t="shared" si="7"/>
        <v>52</v>
      </c>
      <c r="H230" s="49"/>
      <c r="I230">
        <v>8</v>
      </c>
    </row>
    <row r="231" spans="1:9">
      <c r="A231">
        <v>187</v>
      </c>
      <c r="B231" s="10" t="s">
        <v>567</v>
      </c>
      <c r="C231" s="10" t="s">
        <v>568</v>
      </c>
      <c r="D231" s="11" t="s">
        <v>569</v>
      </c>
      <c r="E231" s="30" t="s">
        <v>72</v>
      </c>
      <c r="F231" s="32">
        <v>3.2</v>
      </c>
      <c r="G231">
        <f t="shared" si="7"/>
        <v>25.6</v>
      </c>
      <c r="H231" s="49"/>
      <c r="I231">
        <v>8</v>
      </c>
    </row>
    <row r="232" spans="1:9">
      <c r="A232">
        <v>188</v>
      </c>
      <c r="B232" s="10" t="s">
        <v>570</v>
      </c>
      <c r="C232" s="10" t="s">
        <v>571</v>
      </c>
      <c r="D232" s="11" t="s">
        <v>572</v>
      </c>
      <c r="E232" s="30" t="s">
        <v>72</v>
      </c>
      <c r="F232" s="32">
        <v>3.33</v>
      </c>
      <c r="G232">
        <f t="shared" si="7"/>
        <v>0</v>
      </c>
      <c r="H232" s="49"/>
      <c r="I232">
        <f t="shared" si="6"/>
        <v>0</v>
      </c>
    </row>
    <row r="233" spans="1:9">
      <c r="A233">
        <v>189</v>
      </c>
      <c r="B233" s="10" t="s">
        <v>573</v>
      </c>
      <c r="C233" s="10" t="s">
        <v>574</v>
      </c>
      <c r="D233" s="11" t="s">
        <v>575</v>
      </c>
      <c r="E233" s="30" t="s">
        <v>159</v>
      </c>
      <c r="F233" s="32">
        <v>2.6</v>
      </c>
      <c r="G233">
        <f t="shared" si="7"/>
        <v>0</v>
      </c>
      <c r="H233" s="49"/>
      <c r="I233">
        <f t="shared" si="6"/>
        <v>0</v>
      </c>
    </row>
    <row r="234" spans="1:9">
      <c r="A234">
        <v>190</v>
      </c>
      <c r="B234" s="10" t="s">
        <v>576</v>
      </c>
      <c r="C234" s="10" t="s">
        <v>577</v>
      </c>
      <c r="D234" s="11" t="s">
        <v>578</v>
      </c>
      <c r="E234" s="30" t="s">
        <v>72</v>
      </c>
      <c r="F234" s="32">
        <v>0</v>
      </c>
      <c r="G234">
        <f t="shared" si="7"/>
        <v>0</v>
      </c>
      <c r="H234" s="49"/>
      <c r="I234">
        <f t="shared" si="6"/>
        <v>0</v>
      </c>
    </row>
    <row r="235" spans="1:9">
      <c r="A235">
        <v>191</v>
      </c>
      <c r="B235" s="10" t="s">
        <v>579</v>
      </c>
      <c r="C235" s="10" t="s">
        <v>580</v>
      </c>
      <c r="D235" s="11" t="s">
        <v>581</v>
      </c>
      <c r="E235" s="30" t="s">
        <v>72</v>
      </c>
      <c r="F235" s="32">
        <v>5.2</v>
      </c>
      <c r="G235">
        <f t="shared" si="7"/>
        <v>26</v>
      </c>
      <c r="H235" s="49"/>
      <c r="I235">
        <v>5</v>
      </c>
    </row>
    <row r="236" spans="1:9">
      <c r="A236">
        <v>192</v>
      </c>
      <c r="B236" s="10" t="s">
        <v>582</v>
      </c>
      <c r="C236" s="10" t="s">
        <v>583</v>
      </c>
      <c r="D236" s="11" t="s">
        <v>584</v>
      </c>
      <c r="E236" s="30" t="s">
        <v>72</v>
      </c>
      <c r="F236" s="32">
        <v>5.3</v>
      </c>
      <c r="G236">
        <f t="shared" si="7"/>
        <v>0</v>
      </c>
      <c r="H236" s="49"/>
      <c r="I236">
        <f t="shared" si="6"/>
        <v>0</v>
      </c>
    </row>
    <row r="237" spans="1:9">
      <c r="A237" s="5">
        <v>11</v>
      </c>
      <c r="B237" s="5" t="s">
        <v>585</v>
      </c>
      <c r="C237" s="13" t="s">
        <v>586</v>
      </c>
      <c r="D237" s="5" t="s">
        <v>587</v>
      </c>
      <c r="E237" s="5" t="s">
        <v>73</v>
      </c>
      <c r="F237" s="5" t="s">
        <v>74</v>
      </c>
      <c r="H237" s="49"/>
    </row>
    <row r="238" spans="1:9">
      <c r="A238">
        <v>193</v>
      </c>
      <c r="B238" s="10" t="s">
        <v>588</v>
      </c>
      <c r="C238" s="10" t="s">
        <v>589</v>
      </c>
      <c r="D238" s="22" t="s">
        <v>1186</v>
      </c>
      <c r="E238" s="30" t="s">
        <v>324</v>
      </c>
      <c r="F238" s="32">
        <v>1.19</v>
      </c>
      <c r="G238">
        <f t="shared" si="7"/>
        <v>0</v>
      </c>
      <c r="H238" s="49"/>
      <c r="I238">
        <v>0</v>
      </c>
    </row>
    <row r="239" spans="1:9">
      <c r="A239">
        <v>194</v>
      </c>
      <c r="B239" s="10" t="s">
        <v>590</v>
      </c>
      <c r="C239" s="10" t="s">
        <v>591</v>
      </c>
      <c r="D239" s="22" t="s">
        <v>1196</v>
      </c>
      <c r="E239" s="30" t="s">
        <v>349</v>
      </c>
      <c r="F239" s="32">
        <v>1.0900000000000001</v>
      </c>
      <c r="G239">
        <f t="shared" si="7"/>
        <v>0</v>
      </c>
      <c r="H239" s="49"/>
      <c r="I239">
        <f t="shared" si="6"/>
        <v>0</v>
      </c>
    </row>
    <row r="240" spans="1:9">
      <c r="A240">
        <v>195</v>
      </c>
      <c r="B240" s="10" t="s">
        <v>592</v>
      </c>
      <c r="C240" s="10" t="s">
        <v>593</v>
      </c>
      <c r="D240" s="22" t="s">
        <v>1198</v>
      </c>
      <c r="E240" s="30" t="s">
        <v>349</v>
      </c>
      <c r="F240" s="32">
        <v>0.98</v>
      </c>
      <c r="G240">
        <f t="shared" si="7"/>
        <v>0</v>
      </c>
      <c r="H240" s="49"/>
      <c r="I240">
        <v>0</v>
      </c>
    </row>
    <row r="241" spans="1:9">
      <c r="A241">
        <v>196</v>
      </c>
      <c r="B241" s="10" t="s">
        <v>594</v>
      </c>
      <c r="C241" s="10" t="s">
        <v>595</v>
      </c>
      <c r="D241" s="22" t="s">
        <v>1199</v>
      </c>
      <c r="E241" s="30" t="s">
        <v>349</v>
      </c>
      <c r="F241" s="32">
        <v>1.0900000000000001</v>
      </c>
      <c r="G241">
        <f t="shared" si="7"/>
        <v>0</v>
      </c>
      <c r="H241" s="49"/>
      <c r="I241">
        <f t="shared" si="6"/>
        <v>0</v>
      </c>
    </row>
    <row r="242" spans="1:9">
      <c r="A242">
        <v>197</v>
      </c>
      <c r="B242" s="10" t="s">
        <v>596</v>
      </c>
      <c r="C242" s="10" t="s">
        <v>597</v>
      </c>
      <c r="D242" s="22" t="s">
        <v>598</v>
      </c>
      <c r="E242" s="30" t="s">
        <v>324</v>
      </c>
      <c r="F242" s="32">
        <v>1.1599999999999999</v>
      </c>
      <c r="G242">
        <f t="shared" si="7"/>
        <v>0</v>
      </c>
      <c r="H242" s="49"/>
      <c r="I242">
        <f t="shared" si="6"/>
        <v>0</v>
      </c>
    </row>
    <row r="243" spans="1:9">
      <c r="A243">
        <v>198</v>
      </c>
      <c r="B243" s="10" t="s">
        <v>599</v>
      </c>
      <c r="C243" s="10" t="s">
        <v>600</v>
      </c>
      <c r="D243" s="22" t="s">
        <v>1200</v>
      </c>
      <c r="E243" s="30" t="s">
        <v>324</v>
      </c>
      <c r="F243" s="32">
        <v>1.25</v>
      </c>
      <c r="G243">
        <f t="shared" si="7"/>
        <v>0</v>
      </c>
      <c r="H243" s="49"/>
      <c r="I243">
        <v>0</v>
      </c>
    </row>
    <row r="244" spans="1:9">
      <c r="A244">
        <v>199</v>
      </c>
      <c r="B244" s="10" t="s">
        <v>601</v>
      </c>
      <c r="C244" s="10" t="s">
        <v>602</v>
      </c>
      <c r="D244" s="22" t="s">
        <v>1201</v>
      </c>
      <c r="E244" s="30" t="s">
        <v>349</v>
      </c>
      <c r="F244" s="32">
        <v>1.25</v>
      </c>
      <c r="G244">
        <f t="shared" si="7"/>
        <v>0</v>
      </c>
      <c r="H244" s="49"/>
      <c r="I244">
        <f t="shared" si="6"/>
        <v>0</v>
      </c>
    </row>
    <row r="245" spans="1:9">
      <c r="A245">
        <v>200</v>
      </c>
      <c r="B245" s="10" t="s">
        <v>603</v>
      </c>
      <c r="C245" s="10" t="s">
        <v>604</v>
      </c>
      <c r="D245" s="22" t="s">
        <v>605</v>
      </c>
      <c r="E245" s="30" t="s">
        <v>324</v>
      </c>
      <c r="F245" s="32">
        <v>1.65</v>
      </c>
      <c r="G245">
        <f t="shared" si="7"/>
        <v>0</v>
      </c>
      <c r="H245" s="49"/>
      <c r="I245">
        <v>0</v>
      </c>
    </row>
    <row r="246" spans="1:9">
      <c r="A246">
        <v>201</v>
      </c>
      <c r="B246" s="10" t="s">
        <v>606</v>
      </c>
      <c r="C246" s="10" t="s">
        <v>1192</v>
      </c>
      <c r="D246" s="22" t="s">
        <v>1193</v>
      </c>
      <c r="E246" s="30" t="s">
        <v>324</v>
      </c>
      <c r="F246" s="32">
        <v>1.45</v>
      </c>
      <c r="G246">
        <f t="shared" si="7"/>
        <v>0</v>
      </c>
      <c r="H246" s="49"/>
      <c r="I246">
        <v>0</v>
      </c>
    </row>
    <row r="247" spans="1:9">
      <c r="A247">
        <v>202</v>
      </c>
      <c r="B247" s="10" t="s">
        <v>607</v>
      </c>
      <c r="C247" s="10" t="s">
        <v>608</v>
      </c>
      <c r="D247" s="22" t="s">
        <v>1191</v>
      </c>
      <c r="E247" s="30" t="s">
        <v>431</v>
      </c>
      <c r="F247" s="32">
        <v>1.28</v>
      </c>
      <c r="G247">
        <f t="shared" si="7"/>
        <v>0</v>
      </c>
      <c r="H247" s="49"/>
      <c r="I247">
        <v>0</v>
      </c>
    </row>
    <row r="248" spans="1:9">
      <c r="A248">
        <v>203</v>
      </c>
      <c r="B248" s="10" t="s">
        <v>609</v>
      </c>
      <c r="C248" s="10" t="s">
        <v>610</v>
      </c>
      <c r="D248" s="22" t="s">
        <v>611</v>
      </c>
      <c r="E248" s="30" t="s">
        <v>324</v>
      </c>
      <c r="F248" s="32">
        <v>3.1</v>
      </c>
      <c r="G248">
        <f t="shared" si="7"/>
        <v>0</v>
      </c>
      <c r="H248" s="49"/>
      <c r="I248">
        <v>0</v>
      </c>
    </row>
    <row r="249" spans="1:9">
      <c r="A249">
        <v>204</v>
      </c>
      <c r="B249" s="10" t="s">
        <v>1208</v>
      </c>
      <c r="C249" s="10" t="s">
        <v>612</v>
      </c>
      <c r="D249" s="22" t="s">
        <v>1209</v>
      </c>
      <c r="E249" s="30" t="s">
        <v>613</v>
      </c>
      <c r="F249" s="32">
        <v>3.5</v>
      </c>
      <c r="G249">
        <f t="shared" si="7"/>
        <v>7</v>
      </c>
      <c r="H249" s="49"/>
      <c r="I249">
        <v>2</v>
      </c>
    </row>
    <row r="250" spans="1:9">
      <c r="A250">
        <v>205</v>
      </c>
      <c r="B250" s="10" t="s">
        <v>614</v>
      </c>
      <c r="C250" s="10" t="s">
        <v>615</v>
      </c>
      <c r="D250" s="22" t="s">
        <v>616</v>
      </c>
      <c r="E250" s="30" t="s">
        <v>349</v>
      </c>
      <c r="F250" s="32">
        <v>1.93</v>
      </c>
      <c r="G250">
        <f t="shared" si="7"/>
        <v>0</v>
      </c>
      <c r="H250" s="49"/>
      <c r="I250">
        <f t="shared" si="6"/>
        <v>0</v>
      </c>
    </row>
    <row r="251" spans="1:9">
      <c r="A251">
        <v>206</v>
      </c>
      <c r="B251" s="10" t="s">
        <v>617</v>
      </c>
      <c r="C251" s="10" t="s">
        <v>618</v>
      </c>
      <c r="D251" s="22" t="s">
        <v>1271</v>
      </c>
      <c r="E251" s="30" t="s">
        <v>349</v>
      </c>
      <c r="F251" s="32">
        <v>3.04</v>
      </c>
      <c r="G251">
        <f t="shared" si="7"/>
        <v>0</v>
      </c>
      <c r="H251" s="49"/>
      <c r="I251">
        <f t="shared" si="6"/>
        <v>0</v>
      </c>
    </row>
    <row r="252" spans="1:9">
      <c r="A252">
        <v>207</v>
      </c>
      <c r="B252" s="10" t="s">
        <v>619</v>
      </c>
      <c r="C252" s="10" t="s">
        <v>620</v>
      </c>
      <c r="D252" s="22" t="s">
        <v>1202</v>
      </c>
      <c r="E252" s="30" t="s">
        <v>349</v>
      </c>
      <c r="F252" s="32">
        <v>2.7</v>
      </c>
      <c r="G252">
        <f t="shared" si="7"/>
        <v>0</v>
      </c>
      <c r="H252" s="49"/>
      <c r="I252">
        <f t="shared" si="6"/>
        <v>0</v>
      </c>
    </row>
    <row r="253" spans="1:9">
      <c r="A253">
        <v>208</v>
      </c>
      <c r="B253" s="10" t="s">
        <v>621</v>
      </c>
      <c r="C253" s="10" t="s">
        <v>622</v>
      </c>
      <c r="D253" s="22" t="s">
        <v>1210</v>
      </c>
      <c r="E253" s="30" t="s">
        <v>349</v>
      </c>
      <c r="F253" s="32">
        <v>2.31</v>
      </c>
      <c r="G253">
        <f t="shared" si="7"/>
        <v>0</v>
      </c>
      <c r="H253" s="49"/>
      <c r="I253">
        <f t="shared" si="6"/>
        <v>0</v>
      </c>
    </row>
    <row r="254" spans="1:9">
      <c r="A254">
        <v>209</v>
      </c>
      <c r="B254" s="10" t="s">
        <v>623</v>
      </c>
      <c r="C254" s="10" t="s">
        <v>624</v>
      </c>
      <c r="D254" s="23" t="s">
        <v>1275</v>
      </c>
      <c r="E254" s="30" t="s">
        <v>430</v>
      </c>
      <c r="F254" s="32">
        <v>3.54</v>
      </c>
      <c r="G254">
        <f t="shared" si="7"/>
        <v>42.480000000000004</v>
      </c>
      <c r="H254" s="49"/>
      <c r="I254">
        <v>12</v>
      </c>
    </row>
    <row r="255" spans="1:9">
      <c r="A255">
        <v>210</v>
      </c>
      <c r="B255" s="19" t="s">
        <v>1287</v>
      </c>
      <c r="C255" s="19" t="s">
        <v>1245</v>
      </c>
      <c r="D255" s="40" t="s">
        <v>1244</v>
      </c>
      <c r="E255" s="30" t="s">
        <v>159</v>
      </c>
      <c r="F255" s="32">
        <v>2.81</v>
      </c>
      <c r="G255">
        <f t="shared" si="7"/>
        <v>0</v>
      </c>
      <c r="H255" s="49"/>
      <c r="I255">
        <f t="shared" si="6"/>
        <v>0</v>
      </c>
    </row>
    <row r="256" spans="1:9">
      <c r="A256">
        <v>211</v>
      </c>
      <c r="B256" s="10" t="s">
        <v>625</v>
      </c>
      <c r="C256" s="10" t="s">
        <v>626</v>
      </c>
      <c r="D256" s="22" t="s">
        <v>627</v>
      </c>
      <c r="E256" s="30" t="s">
        <v>72</v>
      </c>
      <c r="F256" s="32">
        <v>2.5299999999999998</v>
      </c>
      <c r="G256">
        <f t="shared" si="7"/>
        <v>0</v>
      </c>
      <c r="H256" s="49"/>
      <c r="I256">
        <f t="shared" si="6"/>
        <v>0</v>
      </c>
    </row>
    <row r="257" spans="1:9">
      <c r="A257">
        <v>212</v>
      </c>
      <c r="B257" s="10" t="s">
        <v>628</v>
      </c>
      <c r="C257" s="10" t="s">
        <v>629</v>
      </c>
      <c r="D257" s="22" t="s">
        <v>630</v>
      </c>
      <c r="E257" s="30" t="s">
        <v>349</v>
      </c>
      <c r="F257" s="32">
        <v>2.42</v>
      </c>
      <c r="G257">
        <f t="shared" si="7"/>
        <v>0</v>
      </c>
      <c r="H257" s="49"/>
      <c r="I257">
        <f t="shared" si="6"/>
        <v>0</v>
      </c>
    </row>
    <row r="258" spans="1:9">
      <c r="A258">
        <v>213</v>
      </c>
      <c r="B258" s="10" t="s">
        <v>631</v>
      </c>
      <c r="C258" s="10" t="s">
        <v>632</v>
      </c>
      <c r="D258" s="22" t="s">
        <v>633</v>
      </c>
      <c r="E258" s="30" t="s">
        <v>349</v>
      </c>
      <c r="F258" s="32">
        <v>2.08</v>
      </c>
      <c r="G258">
        <f t="shared" si="7"/>
        <v>0</v>
      </c>
      <c r="H258" s="49"/>
      <c r="I258">
        <f t="shared" si="6"/>
        <v>0</v>
      </c>
    </row>
    <row r="259" spans="1:9">
      <c r="A259">
        <v>214</v>
      </c>
      <c r="B259" s="10" t="s">
        <v>634</v>
      </c>
      <c r="C259" s="10" t="s">
        <v>635</v>
      </c>
      <c r="D259" s="22" t="s">
        <v>1190</v>
      </c>
      <c r="E259" s="30" t="s">
        <v>613</v>
      </c>
      <c r="F259" s="32">
        <v>1.6</v>
      </c>
      <c r="G259">
        <f t="shared" si="7"/>
        <v>0</v>
      </c>
      <c r="H259" s="49"/>
      <c r="I259">
        <f t="shared" si="6"/>
        <v>0</v>
      </c>
    </row>
    <row r="260" spans="1:9">
      <c r="A260">
        <v>215</v>
      </c>
      <c r="B260" s="10" t="s">
        <v>636</v>
      </c>
      <c r="C260" s="10" t="s">
        <v>637</v>
      </c>
      <c r="D260" s="22" t="s">
        <v>1203</v>
      </c>
      <c r="E260" s="30" t="s">
        <v>613</v>
      </c>
      <c r="F260" s="32">
        <v>2.44</v>
      </c>
      <c r="G260">
        <f t="shared" si="7"/>
        <v>12.2</v>
      </c>
      <c r="H260" s="49"/>
      <c r="I260">
        <v>5</v>
      </c>
    </row>
    <row r="261" spans="1:9">
      <c r="A261">
        <v>216</v>
      </c>
      <c r="B261" s="10" t="s">
        <v>638</v>
      </c>
      <c r="C261" s="10" t="s">
        <v>639</v>
      </c>
      <c r="D261" s="22" t="s">
        <v>640</v>
      </c>
      <c r="E261" s="30" t="s">
        <v>349</v>
      </c>
      <c r="F261" s="32">
        <v>2.5499999999999998</v>
      </c>
      <c r="G261">
        <f t="shared" si="7"/>
        <v>0</v>
      </c>
      <c r="H261" s="49"/>
      <c r="I261">
        <v>0</v>
      </c>
    </row>
    <row r="262" spans="1:9">
      <c r="A262">
        <v>217</v>
      </c>
      <c r="B262" s="10" t="s">
        <v>641</v>
      </c>
      <c r="C262" s="10" t="s">
        <v>642</v>
      </c>
      <c r="D262" s="22" t="s">
        <v>643</v>
      </c>
      <c r="E262" s="30" t="s">
        <v>349</v>
      </c>
      <c r="F262" s="32">
        <v>2.5499999999999998</v>
      </c>
      <c r="G262">
        <f t="shared" si="7"/>
        <v>0</v>
      </c>
      <c r="H262" s="49"/>
      <c r="I262">
        <f t="shared" si="6"/>
        <v>0</v>
      </c>
    </row>
    <row r="263" spans="1:9">
      <c r="A263">
        <v>218</v>
      </c>
      <c r="B263" s="10" t="s">
        <v>644</v>
      </c>
      <c r="C263" s="10" t="s">
        <v>645</v>
      </c>
      <c r="D263" s="22" t="s">
        <v>646</v>
      </c>
      <c r="E263" s="30" t="s">
        <v>349</v>
      </c>
      <c r="F263" s="32">
        <v>4.1500000000000004</v>
      </c>
      <c r="G263">
        <f t="shared" si="7"/>
        <v>8.3000000000000007</v>
      </c>
      <c r="H263" s="49"/>
      <c r="I263">
        <v>2</v>
      </c>
    </row>
    <row r="264" spans="1:9">
      <c r="A264">
        <v>219</v>
      </c>
      <c r="B264" s="10" t="s">
        <v>647</v>
      </c>
      <c r="C264" s="10" t="s">
        <v>647</v>
      </c>
      <c r="D264" s="22" t="s">
        <v>1204</v>
      </c>
      <c r="E264" s="30" t="s">
        <v>349</v>
      </c>
      <c r="F264" s="32">
        <v>3.54</v>
      </c>
      <c r="G264">
        <f t="shared" si="7"/>
        <v>0</v>
      </c>
      <c r="H264" s="49"/>
      <c r="I264">
        <f t="shared" si="6"/>
        <v>0</v>
      </c>
    </row>
    <row r="265" spans="1:9">
      <c r="A265">
        <v>220</v>
      </c>
      <c r="B265" s="10" t="s">
        <v>648</v>
      </c>
      <c r="C265" s="10" t="s">
        <v>649</v>
      </c>
      <c r="D265" s="22" t="s">
        <v>1205</v>
      </c>
      <c r="E265" s="30" t="s">
        <v>613</v>
      </c>
      <c r="F265" s="32">
        <v>3.4</v>
      </c>
      <c r="G265">
        <f t="shared" si="7"/>
        <v>6.8</v>
      </c>
      <c r="H265" s="49"/>
      <c r="I265">
        <v>2</v>
      </c>
    </row>
    <row r="266" spans="1:9">
      <c r="A266">
        <v>221</v>
      </c>
      <c r="B266" s="10" t="s">
        <v>650</v>
      </c>
      <c r="C266" s="10" t="s">
        <v>651</v>
      </c>
      <c r="D266" s="22" t="s">
        <v>1206</v>
      </c>
      <c r="E266" s="30" t="s">
        <v>613</v>
      </c>
      <c r="F266" s="32">
        <v>3.73</v>
      </c>
      <c r="G266">
        <f t="shared" si="7"/>
        <v>0</v>
      </c>
      <c r="H266" s="49"/>
      <c r="I266">
        <f t="shared" si="6"/>
        <v>0</v>
      </c>
    </row>
    <row r="267" spans="1:9">
      <c r="A267">
        <v>222</v>
      </c>
      <c r="B267" s="10" t="s">
        <v>652</v>
      </c>
      <c r="C267" s="10" t="s">
        <v>653</v>
      </c>
      <c r="D267" s="22" t="s">
        <v>1189</v>
      </c>
      <c r="E267" s="30" t="s">
        <v>72</v>
      </c>
      <c r="F267" s="32">
        <v>3.55</v>
      </c>
      <c r="G267">
        <f t="shared" si="7"/>
        <v>0</v>
      </c>
      <c r="H267" s="49"/>
      <c r="I267">
        <v>0</v>
      </c>
    </row>
    <row r="268" spans="1:9">
      <c r="A268">
        <v>223</v>
      </c>
      <c r="B268" s="10" t="s">
        <v>654</v>
      </c>
      <c r="C268" s="10" t="s">
        <v>655</v>
      </c>
      <c r="D268" s="22" t="s">
        <v>1197</v>
      </c>
      <c r="E268" s="30" t="s">
        <v>349</v>
      </c>
      <c r="F268" s="32">
        <v>3.81</v>
      </c>
      <c r="G268">
        <f t="shared" ref="G268:G331" si="8" xml:space="preserve"> F268*I268</f>
        <v>7.62</v>
      </c>
      <c r="H268" s="49"/>
      <c r="I268">
        <v>2</v>
      </c>
    </row>
    <row r="269" spans="1:9">
      <c r="A269">
        <v>224</v>
      </c>
      <c r="B269" s="10" t="s">
        <v>656</v>
      </c>
      <c r="C269" s="10" t="s">
        <v>657</v>
      </c>
      <c r="D269" s="22" t="s">
        <v>658</v>
      </c>
      <c r="E269" s="30" t="s">
        <v>613</v>
      </c>
      <c r="F269" s="32">
        <v>4.99</v>
      </c>
      <c r="G269">
        <f t="shared" si="8"/>
        <v>19.96</v>
      </c>
      <c r="H269" s="49"/>
      <c r="I269">
        <v>4</v>
      </c>
    </row>
    <row r="270" spans="1:9">
      <c r="A270">
        <v>225</v>
      </c>
      <c r="B270" s="10" t="s">
        <v>659</v>
      </c>
      <c r="C270" s="10" t="s">
        <v>660</v>
      </c>
      <c r="D270" s="22" t="s">
        <v>661</v>
      </c>
      <c r="E270" s="30" t="s">
        <v>349</v>
      </c>
      <c r="F270" s="32">
        <v>4.88</v>
      </c>
      <c r="G270">
        <f t="shared" si="8"/>
        <v>0</v>
      </c>
      <c r="H270" s="49"/>
      <c r="I270">
        <f t="shared" ref="I270:I328" si="9">H270*F270</f>
        <v>0</v>
      </c>
    </row>
    <row r="271" spans="1:9">
      <c r="A271">
        <v>226</v>
      </c>
      <c r="B271" s="10" t="s">
        <v>662</v>
      </c>
      <c r="C271" s="10" t="s">
        <v>663</v>
      </c>
      <c r="D271" s="22" t="s">
        <v>1187</v>
      </c>
      <c r="E271" s="30" t="s">
        <v>349</v>
      </c>
      <c r="F271" s="32">
        <v>4.28</v>
      </c>
      <c r="G271">
        <f t="shared" si="8"/>
        <v>0</v>
      </c>
      <c r="H271" s="49"/>
      <c r="I271">
        <f t="shared" si="9"/>
        <v>0</v>
      </c>
    </row>
    <row r="272" spans="1:9">
      <c r="A272">
        <v>227</v>
      </c>
      <c r="B272" s="10" t="s">
        <v>664</v>
      </c>
      <c r="C272" s="10" t="s">
        <v>665</v>
      </c>
      <c r="D272" s="22" t="s">
        <v>1188</v>
      </c>
      <c r="E272" s="30" t="s">
        <v>349</v>
      </c>
      <c r="F272" s="32">
        <v>4.3</v>
      </c>
      <c r="G272">
        <f t="shared" si="8"/>
        <v>8.6</v>
      </c>
      <c r="H272" s="49"/>
      <c r="I272">
        <v>2</v>
      </c>
    </row>
    <row r="273" spans="1:9">
      <c r="A273">
        <v>228</v>
      </c>
      <c r="B273" s="24" t="s">
        <v>1170</v>
      </c>
      <c r="C273" s="24" t="s">
        <v>1169</v>
      </c>
      <c r="D273" s="22" t="s">
        <v>1176</v>
      </c>
      <c r="E273" s="30" t="s">
        <v>349</v>
      </c>
      <c r="F273" s="32">
        <v>6.89</v>
      </c>
      <c r="G273">
        <f t="shared" si="8"/>
        <v>0</v>
      </c>
      <c r="H273" s="49"/>
      <c r="I273">
        <v>0</v>
      </c>
    </row>
    <row r="274" spans="1:9">
      <c r="A274">
        <v>229</v>
      </c>
      <c r="B274" s="24" t="s">
        <v>1171</v>
      </c>
      <c r="C274" s="24" t="s">
        <v>1172</v>
      </c>
      <c r="D274" s="22" t="s">
        <v>1177</v>
      </c>
      <c r="E274" s="30" t="s">
        <v>349</v>
      </c>
      <c r="F274" s="32">
        <v>2.7</v>
      </c>
      <c r="G274">
        <f t="shared" si="8"/>
        <v>0</v>
      </c>
      <c r="H274" s="49"/>
      <c r="I274">
        <f t="shared" si="9"/>
        <v>0</v>
      </c>
    </row>
    <row r="275" spans="1:9">
      <c r="A275">
        <v>230</v>
      </c>
      <c r="B275" s="24" t="s">
        <v>1173</v>
      </c>
      <c r="C275" s="24" t="s">
        <v>1173</v>
      </c>
      <c r="D275" s="22" t="s">
        <v>1178</v>
      </c>
      <c r="E275" s="30" t="s">
        <v>349</v>
      </c>
      <c r="F275" s="32">
        <v>3.61</v>
      </c>
      <c r="G275">
        <f t="shared" si="8"/>
        <v>0</v>
      </c>
      <c r="H275" s="49"/>
      <c r="I275">
        <f t="shared" si="9"/>
        <v>0</v>
      </c>
    </row>
    <row r="276" spans="1:9">
      <c r="A276">
        <v>231</v>
      </c>
      <c r="B276" s="24" t="s">
        <v>1174</v>
      </c>
      <c r="C276" s="24" t="s">
        <v>1175</v>
      </c>
      <c r="D276" s="22" t="s">
        <v>1179</v>
      </c>
      <c r="E276" s="30" t="s">
        <v>349</v>
      </c>
      <c r="F276" s="32">
        <v>4.41</v>
      </c>
      <c r="G276">
        <f t="shared" si="8"/>
        <v>0</v>
      </c>
      <c r="H276" s="49"/>
      <c r="I276">
        <v>0</v>
      </c>
    </row>
    <row r="277" spans="1:9">
      <c r="B277" s="24"/>
      <c r="C277" s="24" t="s">
        <v>1269</v>
      </c>
      <c r="D277" s="22" t="s">
        <v>1268</v>
      </c>
      <c r="E277" s="30" t="s">
        <v>159</v>
      </c>
      <c r="F277" s="32">
        <v>4.88</v>
      </c>
      <c r="G277">
        <f t="shared" si="8"/>
        <v>29.28</v>
      </c>
      <c r="H277" s="49"/>
      <c r="I277">
        <v>6</v>
      </c>
    </row>
    <row r="278" spans="1:9">
      <c r="B278" s="24"/>
      <c r="C278" s="24"/>
      <c r="D278" s="22" t="s">
        <v>1270</v>
      </c>
      <c r="E278" s="30" t="s">
        <v>159</v>
      </c>
      <c r="F278" s="32">
        <v>2.81</v>
      </c>
      <c r="G278">
        <f t="shared" si="8"/>
        <v>0</v>
      </c>
      <c r="H278" s="49"/>
      <c r="I278">
        <f t="shared" si="9"/>
        <v>0</v>
      </c>
    </row>
    <row r="279" spans="1:9">
      <c r="B279" s="24"/>
      <c r="C279" s="24"/>
      <c r="D279" s="22" t="s">
        <v>1272</v>
      </c>
      <c r="E279" s="30" t="s">
        <v>159</v>
      </c>
      <c r="F279" s="32">
        <v>4.99</v>
      </c>
      <c r="G279">
        <f t="shared" si="8"/>
        <v>0</v>
      </c>
      <c r="H279" s="49"/>
      <c r="I279">
        <v>0</v>
      </c>
    </row>
    <row r="280" spans="1:9">
      <c r="B280" s="24"/>
      <c r="C280" s="24"/>
      <c r="D280" s="22"/>
      <c r="E280" s="30"/>
      <c r="F280" s="32"/>
      <c r="G280">
        <f t="shared" si="8"/>
        <v>0</v>
      </c>
      <c r="H280" s="49"/>
      <c r="I280">
        <f t="shared" si="9"/>
        <v>0</v>
      </c>
    </row>
    <row r="281" spans="1:9">
      <c r="A281" s="5">
        <v>12</v>
      </c>
      <c r="B281" s="13" t="s">
        <v>666</v>
      </c>
      <c r="C281" s="13" t="s">
        <v>667</v>
      </c>
      <c r="D281" s="14" t="s">
        <v>668</v>
      </c>
      <c r="E281" s="5" t="s">
        <v>73</v>
      </c>
      <c r="F281" s="5" t="s">
        <v>74</v>
      </c>
      <c r="H281" s="49"/>
    </row>
    <row r="282" spans="1:9">
      <c r="A282">
        <v>232</v>
      </c>
      <c r="B282" s="10" t="s">
        <v>669</v>
      </c>
      <c r="C282" s="10" t="s">
        <v>1329</v>
      </c>
      <c r="D282" s="11" t="s">
        <v>670</v>
      </c>
      <c r="E282" s="30" t="s">
        <v>349</v>
      </c>
      <c r="F282" s="38">
        <v>1.75</v>
      </c>
      <c r="G282">
        <f t="shared" si="8"/>
        <v>3.5</v>
      </c>
      <c r="H282" s="49"/>
      <c r="I282">
        <v>2</v>
      </c>
    </row>
    <row r="283" spans="1:9">
      <c r="A283">
        <v>233</v>
      </c>
      <c r="B283" s="10" t="s">
        <v>671</v>
      </c>
      <c r="C283" s="10" t="s">
        <v>1330</v>
      </c>
      <c r="D283" s="11" t="s">
        <v>672</v>
      </c>
      <c r="E283" s="30" t="s">
        <v>349</v>
      </c>
      <c r="F283" s="38">
        <v>1.75</v>
      </c>
      <c r="G283">
        <f t="shared" si="8"/>
        <v>3.5</v>
      </c>
      <c r="H283" s="49"/>
      <c r="I283">
        <v>2</v>
      </c>
    </row>
    <row r="284" spans="1:9">
      <c r="A284">
        <v>234</v>
      </c>
      <c r="B284" s="10" t="s">
        <v>673</v>
      </c>
      <c r="C284" s="10" t="s">
        <v>1331</v>
      </c>
      <c r="D284" s="11" t="s">
        <v>674</v>
      </c>
      <c r="E284" s="30" t="s">
        <v>349</v>
      </c>
      <c r="F284" s="38">
        <v>1.75</v>
      </c>
      <c r="G284">
        <f t="shared" si="8"/>
        <v>3.5</v>
      </c>
      <c r="H284" s="49"/>
      <c r="I284">
        <v>2</v>
      </c>
    </row>
    <row r="285" spans="1:9">
      <c r="A285">
        <v>235</v>
      </c>
      <c r="B285" s="10" t="s">
        <v>675</v>
      </c>
      <c r="C285" s="10" t="s">
        <v>1332</v>
      </c>
      <c r="D285" s="11" t="s">
        <v>676</v>
      </c>
      <c r="E285" s="30" t="s">
        <v>349</v>
      </c>
      <c r="F285" s="38">
        <v>1.75</v>
      </c>
      <c r="G285">
        <f t="shared" si="8"/>
        <v>3.5</v>
      </c>
      <c r="H285" s="49"/>
      <c r="I285">
        <v>2</v>
      </c>
    </row>
    <row r="286" spans="1:9">
      <c r="A286">
        <v>236</v>
      </c>
      <c r="B286" s="10" t="s">
        <v>677</v>
      </c>
      <c r="C286" s="10" t="s">
        <v>1333</v>
      </c>
      <c r="D286" s="11" t="s">
        <v>678</v>
      </c>
      <c r="E286" s="30" t="s">
        <v>349</v>
      </c>
      <c r="F286" s="38">
        <v>1.9</v>
      </c>
      <c r="G286">
        <f t="shared" si="8"/>
        <v>3.8</v>
      </c>
      <c r="H286" s="49"/>
      <c r="I286">
        <v>2</v>
      </c>
    </row>
    <row r="287" spans="1:9">
      <c r="A287">
        <v>237</v>
      </c>
      <c r="B287" s="10" t="s">
        <v>679</v>
      </c>
      <c r="C287" s="10" t="s">
        <v>1334</v>
      </c>
      <c r="D287" s="11" t="s">
        <v>680</v>
      </c>
      <c r="E287" s="30" t="s">
        <v>349</v>
      </c>
      <c r="F287" s="38">
        <v>1.9</v>
      </c>
      <c r="G287">
        <f t="shared" si="8"/>
        <v>3.8</v>
      </c>
      <c r="H287" s="49"/>
      <c r="I287">
        <v>2</v>
      </c>
    </row>
    <row r="288" spans="1:9">
      <c r="A288">
        <v>238</v>
      </c>
      <c r="B288" s="10" t="s">
        <v>681</v>
      </c>
      <c r="C288" s="10" t="s">
        <v>682</v>
      </c>
      <c r="D288" s="11" t="s">
        <v>683</v>
      </c>
      <c r="E288" s="30" t="s">
        <v>324</v>
      </c>
      <c r="F288" s="38">
        <v>1.95</v>
      </c>
      <c r="G288">
        <f t="shared" si="8"/>
        <v>3.9</v>
      </c>
      <c r="H288" s="49"/>
      <c r="I288">
        <v>2</v>
      </c>
    </row>
    <row r="289" spans="1:9">
      <c r="A289">
        <v>239</v>
      </c>
      <c r="B289" s="10" t="s">
        <v>684</v>
      </c>
      <c r="C289" s="10" t="s">
        <v>685</v>
      </c>
      <c r="D289" s="11" t="s">
        <v>686</v>
      </c>
      <c r="E289" s="30" t="s">
        <v>349</v>
      </c>
      <c r="F289" s="38">
        <v>2.0499999999999998</v>
      </c>
      <c r="G289">
        <f t="shared" si="8"/>
        <v>0</v>
      </c>
      <c r="H289" s="49"/>
      <c r="I289">
        <v>0</v>
      </c>
    </row>
    <row r="290" spans="1:9">
      <c r="A290">
        <v>240</v>
      </c>
      <c r="B290" s="10" t="s">
        <v>687</v>
      </c>
      <c r="C290" s="10" t="s">
        <v>688</v>
      </c>
      <c r="D290" s="11" t="s">
        <v>689</v>
      </c>
      <c r="E290" s="30" t="s">
        <v>324</v>
      </c>
      <c r="F290" s="38">
        <v>2.0699999999999998</v>
      </c>
      <c r="G290">
        <f t="shared" si="8"/>
        <v>0</v>
      </c>
      <c r="H290" s="49"/>
      <c r="I290">
        <v>0</v>
      </c>
    </row>
    <row r="291" spans="1:9">
      <c r="A291">
        <v>241</v>
      </c>
      <c r="B291" s="10" t="s">
        <v>690</v>
      </c>
      <c r="C291" s="10" t="s">
        <v>691</v>
      </c>
      <c r="D291" s="11" t="s">
        <v>692</v>
      </c>
      <c r="E291" s="30" t="s">
        <v>349</v>
      </c>
      <c r="F291" s="38">
        <v>3.1</v>
      </c>
      <c r="G291">
        <f t="shared" si="8"/>
        <v>0</v>
      </c>
      <c r="H291" s="49"/>
      <c r="I291">
        <v>0</v>
      </c>
    </row>
    <row r="292" spans="1:9">
      <c r="A292">
        <v>242</v>
      </c>
      <c r="B292" s="10" t="s">
        <v>693</v>
      </c>
      <c r="C292" s="10" t="s">
        <v>694</v>
      </c>
      <c r="D292" s="11" t="s">
        <v>695</v>
      </c>
      <c r="E292" s="30" t="s">
        <v>324</v>
      </c>
      <c r="F292" s="38">
        <v>3.1</v>
      </c>
      <c r="G292">
        <f t="shared" si="8"/>
        <v>0</v>
      </c>
      <c r="H292" s="49"/>
      <c r="I292">
        <v>0</v>
      </c>
    </row>
    <row r="293" spans="1:9">
      <c r="B293" s="10"/>
      <c r="C293" s="10" t="s">
        <v>1267</v>
      </c>
      <c r="D293" s="11"/>
      <c r="E293" s="30"/>
      <c r="F293" s="38"/>
      <c r="G293">
        <f t="shared" si="8"/>
        <v>0</v>
      </c>
      <c r="H293" s="49"/>
      <c r="I293">
        <f t="shared" si="9"/>
        <v>0</v>
      </c>
    </row>
    <row r="294" spans="1:9">
      <c r="A294" s="5">
        <v>13</v>
      </c>
      <c r="B294" s="5" t="s">
        <v>696</v>
      </c>
      <c r="C294" s="5" t="s">
        <v>697</v>
      </c>
      <c r="D294" s="5" t="s">
        <v>698</v>
      </c>
      <c r="E294" s="5" t="s">
        <v>73</v>
      </c>
      <c r="F294" s="5" t="s">
        <v>74</v>
      </c>
      <c r="H294" s="49"/>
    </row>
    <row r="295" spans="1:9">
      <c r="A295">
        <v>243</v>
      </c>
      <c r="B295" s="10" t="s">
        <v>699</v>
      </c>
      <c r="C295" s="10" t="s">
        <v>700</v>
      </c>
      <c r="D295" s="11" t="s">
        <v>498</v>
      </c>
      <c r="E295" s="30" t="s">
        <v>72</v>
      </c>
      <c r="F295" s="32">
        <v>2.31</v>
      </c>
      <c r="G295">
        <f t="shared" si="8"/>
        <v>0</v>
      </c>
      <c r="H295" s="49"/>
      <c r="I295">
        <v>0</v>
      </c>
    </row>
    <row r="296" spans="1:9">
      <c r="A296">
        <v>244</v>
      </c>
      <c r="B296" s="10" t="s">
        <v>701</v>
      </c>
      <c r="C296" s="10" t="s">
        <v>702</v>
      </c>
      <c r="D296" s="11" t="s">
        <v>703</v>
      </c>
      <c r="E296" s="30" t="s">
        <v>72</v>
      </c>
      <c r="F296" s="32">
        <v>2.91</v>
      </c>
      <c r="G296">
        <f t="shared" si="8"/>
        <v>43.650000000000006</v>
      </c>
      <c r="H296" s="49"/>
      <c r="I296">
        <v>15</v>
      </c>
    </row>
    <row r="297" spans="1:9">
      <c r="A297">
        <v>245</v>
      </c>
      <c r="B297" s="10" t="s">
        <v>704</v>
      </c>
      <c r="C297" s="10" t="s">
        <v>705</v>
      </c>
      <c r="D297" s="11" t="s">
        <v>706</v>
      </c>
      <c r="E297" s="30" t="s">
        <v>72</v>
      </c>
      <c r="F297" s="32">
        <v>3.95</v>
      </c>
      <c r="G297">
        <f t="shared" si="8"/>
        <v>0</v>
      </c>
      <c r="H297" s="49"/>
      <c r="I297">
        <v>0</v>
      </c>
    </row>
    <row r="298" spans="1:9">
      <c r="A298">
        <v>246</v>
      </c>
      <c r="B298" s="10" t="s">
        <v>707</v>
      </c>
      <c r="C298" s="10" t="s">
        <v>708</v>
      </c>
      <c r="D298" s="11" t="s">
        <v>709</v>
      </c>
      <c r="E298" s="30" t="s">
        <v>72</v>
      </c>
      <c r="F298" s="32">
        <v>3.75</v>
      </c>
      <c r="G298">
        <f t="shared" si="8"/>
        <v>15</v>
      </c>
      <c r="H298" s="49"/>
      <c r="I298">
        <v>4</v>
      </c>
    </row>
    <row r="299" spans="1:9">
      <c r="A299">
        <v>247</v>
      </c>
      <c r="B299" s="10" t="s">
        <v>710</v>
      </c>
      <c r="C299" s="10" t="s">
        <v>711</v>
      </c>
      <c r="D299" s="11" t="s">
        <v>1226</v>
      </c>
      <c r="E299" s="30" t="s">
        <v>72</v>
      </c>
      <c r="F299" s="32">
        <v>3.63</v>
      </c>
      <c r="G299">
        <f t="shared" si="8"/>
        <v>0</v>
      </c>
      <c r="H299" s="49"/>
      <c r="I299">
        <f t="shared" si="9"/>
        <v>0</v>
      </c>
    </row>
    <row r="300" spans="1:9">
      <c r="B300" s="10" t="s">
        <v>1227</v>
      </c>
      <c r="C300" s="10" t="s">
        <v>1228</v>
      </c>
      <c r="D300" s="11" t="s">
        <v>1229</v>
      </c>
      <c r="E300" s="30" t="s">
        <v>159</v>
      </c>
      <c r="F300" s="32">
        <v>3.99</v>
      </c>
      <c r="G300">
        <f t="shared" si="8"/>
        <v>0</v>
      </c>
      <c r="H300" s="49"/>
      <c r="I300">
        <v>0</v>
      </c>
    </row>
    <row r="301" spans="1:9">
      <c r="A301">
        <v>248</v>
      </c>
      <c r="B301" s="10" t="s">
        <v>712</v>
      </c>
      <c r="C301" s="10" t="s">
        <v>713</v>
      </c>
      <c r="D301" s="11" t="s">
        <v>714</v>
      </c>
      <c r="E301" s="30" t="s">
        <v>72</v>
      </c>
      <c r="F301" s="32">
        <v>3.34</v>
      </c>
      <c r="G301">
        <f t="shared" si="8"/>
        <v>0</v>
      </c>
      <c r="H301" s="49"/>
      <c r="I301">
        <v>0</v>
      </c>
    </row>
    <row r="302" spans="1:9">
      <c r="A302">
        <v>249</v>
      </c>
      <c r="B302" s="10" t="s">
        <v>715</v>
      </c>
      <c r="C302" s="10" t="s">
        <v>716</v>
      </c>
      <c r="D302" s="11" t="s">
        <v>717</v>
      </c>
      <c r="E302" s="30" t="s">
        <v>72</v>
      </c>
      <c r="F302" s="32">
        <v>5.5</v>
      </c>
      <c r="G302">
        <f t="shared" si="8"/>
        <v>0</v>
      </c>
      <c r="H302" s="49"/>
      <c r="I302">
        <f t="shared" si="9"/>
        <v>0</v>
      </c>
    </row>
    <row r="303" spans="1:9">
      <c r="A303">
        <v>250</v>
      </c>
      <c r="B303" s="10" t="s">
        <v>718</v>
      </c>
      <c r="C303" s="10" t="s">
        <v>719</v>
      </c>
      <c r="D303" s="11" t="s">
        <v>720</v>
      </c>
      <c r="E303" s="30" t="s">
        <v>72</v>
      </c>
      <c r="F303" s="32">
        <v>7.5</v>
      </c>
      <c r="G303">
        <f t="shared" si="8"/>
        <v>0</v>
      </c>
      <c r="H303" s="49"/>
      <c r="I303">
        <v>0</v>
      </c>
    </row>
    <row r="304" spans="1:9">
      <c r="A304">
        <v>251</v>
      </c>
      <c r="B304" s="10" t="s">
        <v>721</v>
      </c>
      <c r="C304" s="10" t="s">
        <v>722</v>
      </c>
      <c r="D304" s="11" t="s">
        <v>723</v>
      </c>
      <c r="E304" s="30" t="s">
        <v>72</v>
      </c>
      <c r="F304" s="32">
        <v>6.99</v>
      </c>
      <c r="G304">
        <f t="shared" si="8"/>
        <v>41.94</v>
      </c>
      <c r="H304" s="49"/>
      <c r="I304">
        <v>6</v>
      </c>
    </row>
    <row r="305" spans="1:9">
      <c r="A305">
        <v>252</v>
      </c>
      <c r="B305" s="10" t="s">
        <v>724</v>
      </c>
      <c r="C305" s="10" t="s">
        <v>725</v>
      </c>
      <c r="D305" s="11" t="s">
        <v>537</v>
      </c>
      <c r="E305" s="30" t="s">
        <v>72</v>
      </c>
      <c r="F305" s="32">
        <v>7.5</v>
      </c>
      <c r="G305">
        <f t="shared" si="8"/>
        <v>45</v>
      </c>
      <c r="H305" s="49"/>
      <c r="I305">
        <v>6</v>
      </c>
    </row>
    <row r="306" spans="1:9">
      <c r="A306">
        <v>253</v>
      </c>
      <c r="B306" s="10" t="s">
        <v>726</v>
      </c>
      <c r="C306" s="10" t="s">
        <v>727</v>
      </c>
      <c r="D306" s="11" t="s">
        <v>728</v>
      </c>
      <c r="E306" s="30" t="s">
        <v>72</v>
      </c>
      <c r="F306" s="32">
        <v>7.5</v>
      </c>
      <c r="G306">
        <f t="shared" si="8"/>
        <v>45</v>
      </c>
      <c r="H306" s="49"/>
      <c r="I306">
        <v>6</v>
      </c>
    </row>
    <row r="307" spans="1:9">
      <c r="A307">
        <v>254</v>
      </c>
      <c r="B307" s="10" t="s">
        <v>729</v>
      </c>
      <c r="C307" s="10" t="s">
        <v>730</v>
      </c>
      <c r="D307" s="11" t="s">
        <v>731</v>
      </c>
      <c r="E307" s="30" t="s">
        <v>72</v>
      </c>
      <c r="F307" s="32">
        <v>11.5</v>
      </c>
      <c r="G307">
        <f t="shared" si="8"/>
        <v>23</v>
      </c>
      <c r="H307" s="49"/>
      <c r="I307">
        <v>2</v>
      </c>
    </row>
    <row r="308" spans="1:9">
      <c r="A308" s="5">
        <v>14</v>
      </c>
      <c r="B308" s="5" t="s">
        <v>732</v>
      </c>
      <c r="C308" s="5" t="s">
        <v>733</v>
      </c>
      <c r="D308" s="5" t="s">
        <v>734</v>
      </c>
      <c r="E308" s="5" t="s">
        <v>73</v>
      </c>
      <c r="F308" s="5" t="s">
        <v>74</v>
      </c>
      <c r="H308" s="49"/>
    </row>
    <row r="309" spans="1:9">
      <c r="A309">
        <v>255</v>
      </c>
      <c r="B309" s="10" t="s">
        <v>735</v>
      </c>
      <c r="C309" s="10" t="s">
        <v>736</v>
      </c>
      <c r="D309" s="11" t="s">
        <v>737</v>
      </c>
      <c r="E309" s="32" t="s">
        <v>430</v>
      </c>
      <c r="F309" s="32">
        <v>0.65</v>
      </c>
      <c r="G309">
        <f t="shared" si="8"/>
        <v>0</v>
      </c>
      <c r="H309" s="49"/>
      <c r="I309">
        <f t="shared" si="9"/>
        <v>0</v>
      </c>
    </row>
    <row r="310" spans="1:9">
      <c r="A310">
        <v>256</v>
      </c>
      <c r="B310" s="10" t="s">
        <v>738</v>
      </c>
      <c r="C310" s="10" t="s">
        <v>739</v>
      </c>
      <c r="D310" s="11" t="s">
        <v>740</v>
      </c>
      <c r="E310" s="32" t="s">
        <v>72</v>
      </c>
      <c r="F310" s="32">
        <v>6.22</v>
      </c>
      <c r="G310">
        <f t="shared" si="8"/>
        <v>0</v>
      </c>
      <c r="H310" s="49"/>
      <c r="I310">
        <v>0</v>
      </c>
    </row>
    <row r="311" spans="1:9">
      <c r="A311">
        <v>257</v>
      </c>
      <c r="B311" s="10" t="s">
        <v>741</v>
      </c>
      <c r="C311" s="10" t="s">
        <v>742</v>
      </c>
      <c r="D311" s="11" t="s">
        <v>743</v>
      </c>
      <c r="E311" s="32" t="s">
        <v>72</v>
      </c>
      <c r="F311" s="32">
        <v>8.89</v>
      </c>
      <c r="G311">
        <f t="shared" si="8"/>
        <v>0</v>
      </c>
      <c r="H311" s="49"/>
      <c r="I311">
        <f t="shared" si="9"/>
        <v>0</v>
      </c>
    </row>
    <row r="312" spans="1:9">
      <c r="A312">
        <v>258</v>
      </c>
      <c r="B312" s="10" t="s">
        <v>744</v>
      </c>
      <c r="C312" s="10" t="s">
        <v>745</v>
      </c>
      <c r="D312" s="11" t="s">
        <v>746</v>
      </c>
      <c r="E312" s="32" t="s">
        <v>72</v>
      </c>
      <c r="F312" s="32">
        <v>9.2200000000000006</v>
      </c>
      <c r="G312">
        <f t="shared" si="8"/>
        <v>0</v>
      </c>
      <c r="H312" s="49"/>
      <c r="I312">
        <f t="shared" si="9"/>
        <v>0</v>
      </c>
    </row>
    <row r="313" spans="1:9">
      <c r="A313">
        <v>259</v>
      </c>
      <c r="B313" s="10" t="s">
        <v>747</v>
      </c>
      <c r="C313" s="10" t="s">
        <v>748</v>
      </c>
      <c r="D313" s="11" t="s">
        <v>749</v>
      </c>
      <c r="E313" s="32" t="s">
        <v>72</v>
      </c>
      <c r="F313" s="32">
        <v>16.55</v>
      </c>
      <c r="G313">
        <f t="shared" si="8"/>
        <v>0</v>
      </c>
      <c r="H313" s="49"/>
      <c r="I313">
        <f t="shared" si="9"/>
        <v>0</v>
      </c>
    </row>
    <row r="314" spans="1:9">
      <c r="A314" s="5">
        <v>15</v>
      </c>
      <c r="B314" s="13" t="s">
        <v>750</v>
      </c>
      <c r="C314" s="13" t="s">
        <v>751</v>
      </c>
      <c r="D314" s="14" t="s">
        <v>752</v>
      </c>
      <c r="E314" s="5" t="s">
        <v>73</v>
      </c>
      <c r="F314" s="5" t="s">
        <v>74</v>
      </c>
      <c r="H314" s="49"/>
    </row>
    <row r="315" spans="1:9">
      <c r="A315">
        <v>260</v>
      </c>
      <c r="B315" s="10" t="s">
        <v>753</v>
      </c>
      <c r="C315" s="10" t="s">
        <v>754</v>
      </c>
      <c r="D315" s="11" t="s">
        <v>755</v>
      </c>
      <c r="E315" s="30" t="s">
        <v>72</v>
      </c>
      <c r="F315" s="32">
        <v>0</v>
      </c>
      <c r="G315">
        <f t="shared" si="8"/>
        <v>0</v>
      </c>
      <c r="H315" s="49"/>
      <c r="I315">
        <f t="shared" si="9"/>
        <v>0</v>
      </c>
    </row>
    <row r="316" spans="1:9">
      <c r="A316">
        <v>261</v>
      </c>
      <c r="B316" s="10" t="s">
        <v>756</v>
      </c>
      <c r="C316" s="10" t="s">
        <v>757</v>
      </c>
      <c r="D316" s="11" t="s">
        <v>758</v>
      </c>
      <c r="E316" s="30" t="s">
        <v>72</v>
      </c>
      <c r="F316" s="32">
        <v>5.55</v>
      </c>
      <c r="G316">
        <f t="shared" si="8"/>
        <v>0</v>
      </c>
      <c r="H316" s="49"/>
      <c r="I316">
        <f t="shared" si="9"/>
        <v>0</v>
      </c>
    </row>
    <row r="317" spans="1:9">
      <c r="A317">
        <v>262</v>
      </c>
      <c r="B317" s="10" t="s">
        <v>759</v>
      </c>
      <c r="C317" s="10" t="s">
        <v>760</v>
      </c>
      <c r="D317" s="11" t="s">
        <v>761</v>
      </c>
      <c r="E317" s="30" t="s">
        <v>72</v>
      </c>
      <c r="F317" s="32">
        <v>0</v>
      </c>
      <c r="G317">
        <f t="shared" si="8"/>
        <v>0</v>
      </c>
      <c r="H317" s="49"/>
      <c r="I317">
        <f t="shared" si="9"/>
        <v>0</v>
      </c>
    </row>
    <row r="318" spans="1:9">
      <c r="A318">
        <v>263</v>
      </c>
      <c r="B318" s="10" t="s">
        <v>762</v>
      </c>
      <c r="C318" s="10" t="s">
        <v>763</v>
      </c>
      <c r="D318" s="11" t="s">
        <v>764</v>
      </c>
      <c r="E318" s="30" t="s">
        <v>324</v>
      </c>
      <c r="F318" s="32">
        <v>1.77</v>
      </c>
      <c r="G318">
        <f t="shared" si="8"/>
        <v>0</v>
      </c>
      <c r="H318" s="49"/>
      <c r="I318">
        <f t="shared" si="9"/>
        <v>0</v>
      </c>
    </row>
    <row r="319" spans="1:9">
      <c r="A319">
        <v>264</v>
      </c>
      <c r="B319" s="10" t="s">
        <v>765</v>
      </c>
      <c r="C319" s="10" t="s">
        <v>766</v>
      </c>
      <c r="D319" s="11" t="s">
        <v>767</v>
      </c>
      <c r="E319" s="30" t="s">
        <v>768</v>
      </c>
      <c r="F319" s="32">
        <v>2.88</v>
      </c>
      <c r="G319">
        <f t="shared" si="8"/>
        <v>0</v>
      </c>
      <c r="H319" s="49"/>
      <c r="I319">
        <f t="shared" si="9"/>
        <v>0</v>
      </c>
    </row>
    <row r="320" spans="1:9">
      <c r="A320">
        <v>265</v>
      </c>
      <c r="B320" s="10" t="s">
        <v>769</v>
      </c>
      <c r="C320" s="10" t="s">
        <v>770</v>
      </c>
      <c r="D320" s="11" t="s">
        <v>771</v>
      </c>
      <c r="E320" s="30" t="s">
        <v>72</v>
      </c>
      <c r="F320" s="32">
        <v>17.55</v>
      </c>
      <c r="G320">
        <f t="shared" si="8"/>
        <v>0</v>
      </c>
      <c r="H320" s="49"/>
      <c r="I320">
        <f t="shared" si="9"/>
        <v>0</v>
      </c>
    </row>
    <row r="321" spans="1:9">
      <c r="A321">
        <v>266</v>
      </c>
      <c r="B321" s="10" t="s">
        <v>772</v>
      </c>
      <c r="C321" s="10" t="s">
        <v>773</v>
      </c>
      <c r="D321" s="11" t="s">
        <v>774</v>
      </c>
      <c r="E321" s="30" t="s">
        <v>72</v>
      </c>
      <c r="F321" s="32">
        <v>22.33</v>
      </c>
      <c r="G321">
        <f t="shared" si="8"/>
        <v>0</v>
      </c>
      <c r="H321" s="49"/>
      <c r="I321">
        <f t="shared" si="9"/>
        <v>0</v>
      </c>
    </row>
    <row r="322" spans="1:9">
      <c r="A322" s="5">
        <v>16</v>
      </c>
      <c r="B322" s="5" t="s">
        <v>775</v>
      </c>
      <c r="C322" s="13" t="s">
        <v>776</v>
      </c>
      <c r="D322" s="14" t="s">
        <v>777</v>
      </c>
      <c r="E322" s="5" t="s">
        <v>73</v>
      </c>
      <c r="F322" s="5" t="s">
        <v>74</v>
      </c>
      <c r="H322" s="49"/>
    </row>
    <row r="323" spans="1:9">
      <c r="A323">
        <v>267</v>
      </c>
      <c r="B323" s="10" t="s">
        <v>778</v>
      </c>
      <c r="C323" s="10" t="s">
        <v>779</v>
      </c>
      <c r="D323" s="11" t="s">
        <v>780</v>
      </c>
      <c r="E323" s="30" t="s">
        <v>430</v>
      </c>
      <c r="F323" s="38">
        <v>0.34</v>
      </c>
      <c r="G323">
        <f t="shared" si="8"/>
        <v>10.200000000000001</v>
      </c>
      <c r="H323" s="49"/>
      <c r="I323">
        <v>30</v>
      </c>
    </row>
    <row r="324" spans="1:9">
      <c r="A324">
        <v>268</v>
      </c>
      <c r="B324" s="10" t="s">
        <v>781</v>
      </c>
      <c r="C324" s="10" t="s">
        <v>782</v>
      </c>
      <c r="D324" s="11" t="s">
        <v>783</v>
      </c>
      <c r="E324" s="30" t="s">
        <v>430</v>
      </c>
      <c r="F324" s="38">
        <v>0.34</v>
      </c>
      <c r="G324">
        <f t="shared" si="8"/>
        <v>6.8000000000000007</v>
      </c>
      <c r="H324" s="49"/>
      <c r="I324">
        <v>20</v>
      </c>
    </row>
    <row r="325" spans="1:9">
      <c r="A325">
        <v>269</v>
      </c>
      <c r="B325" s="10" t="s">
        <v>784</v>
      </c>
      <c r="C325" s="10" t="s">
        <v>785</v>
      </c>
      <c r="D325" s="11" t="s">
        <v>786</v>
      </c>
      <c r="E325" s="30" t="s">
        <v>72</v>
      </c>
      <c r="F325" s="38">
        <v>0.83</v>
      </c>
      <c r="G325">
        <f t="shared" si="8"/>
        <v>0</v>
      </c>
      <c r="H325" s="49"/>
      <c r="I325">
        <f t="shared" si="9"/>
        <v>0</v>
      </c>
    </row>
    <row r="326" spans="1:9">
      <c r="A326">
        <v>270</v>
      </c>
      <c r="B326" s="10" t="s">
        <v>787</v>
      </c>
      <c r="C326" s="10" t="s">
        <v>788</v>
      </c>
      <c r="D326" s="11" t="s">
        <v>789</v>
      </c>
      <c r="E326" s="30" t="s">
        <v>430</v>
      </c>
      <c r="F326" s="38">
        <v>0.75</v>
      </c>
      <c r="G326">
        <f t="shared" si="8"/>
        <v>0</v>
      </c>
      <c r="H326" s="49"/>
      <c r="I326">
        <f t="shared" si="9"/>
        <v>0</v>
      </c>
    </row>
    <row r="327" spans="1:9">
      <c r="A327">
        <v>271</v>
      </c>
      <c r="B327" s="10" t="s">
        <v>790</v>
      </c>
      <c r="C327" s="10" t="s">
        <v>791</v>
      </c>
      <c r="D327" s="11" t="s">
        <v>792</v>
      </c>
      <c r="E327" s="30" t="s">
        <v>72</v>
      </c>
      <c r="F327" s="38">
        <v>0.76</v>
      </c>
      <c r="G327">
        <f t="shared" si="8"/>
        <v>22.8</v>
      </c>
      <c r="H327" s="49"/>
      <c r="I327">
        <v>30</v>
      </c>
    </row>
    <row r="328" spans="1:9">
      <c r="A328">
        <v>272</v>
      </c>
      <c r="B328" s="10" t="s">
        <v>793</v>
      </c>
      <c r="C328" s="10" t="s">
        <v>794</v>
      </c>
      <c r="D328" s="11" t="s">
        <v>795</v>
      </c>
      <c r="E328" s="30" t="s">
        <v>72</v>
      </c>
      <c r="F328" s="38">
        <v>0.83</v>
      </c>
      <c r="G328">
        <f t="shared" si="8"/>
        <v>0</v>
      </c>
      <c r="H328" s="49"/>
      <c r="I328">
        <f t="shared" si="9"/>
        <v>0</v>
      </c>
    </row>
    <row r="329" spans="1:9">
      <c r="A329">
        <v>273</v>
      </c>
      <c r="B329" s="10" t="s">
        <v>796</v>
      </c>
      <c r="C329" s="10" t="s">
        <v>797</v>
      </c>
      <c r="D329" s="11" t="s">
        <v>798</v>
      </c>
      <c r="E329" s="30" t="s">
        <v>799</v>
      </c>
      <c r="F329" s="38">
        <v>1.04</v>
      </c>
      <c r="G329">
        <f t="shared" si="8"/>
        <v>10.4</v>
      </c>
      <c r="H329" s="49"/>
      <c r="I329">
        <v>10</v>
      </c>
    </row>
    <row r="330" spans="1:9">
      <c r="A330">
        <v>274</v>
      </c>
      <c r="B330" s="10" t="s">
        <v>800</v>
      </c>
      <c r="C330" s="10" t="s">
        <v>801</v>
      </c>
      <c r="D330" s="11" t="s">
        <v>802</v>
      </c>
      <c r="E330" s="30" t="s">
        <v>72</v>
      </c>
      <c r="F330" s="38">
        <v>1.55</v>
      </c>
      <c r="G330">
        <f t="shared" si="8"/>
        <v>46.5</v>
      </c>
      <c r="H330" s="49"/>
      <c r="I330">
        <v>30</v>
      </c>
    </row>
    <row r="331" spans="1:9">
      <c r="A331">
        <v>275</v>
      </c>
      <c r="B331" s="10" t="s">
        <v>803</v>
      </c>
      <c r="C331" s="10" t="s">
        <v>804</v>
      </c>
      <c r="D331" s="11" t="s">
        <v>805</v>
      </c>
      <c r="E331" s="30" t="s">
        <v>72</v>
      </c>
      <c r="F331" s="38">
        <v>2.23</v>
      </c>
      <c r="G331">
        <f t="shared" si="8"/>
        <v>0</v>
      </c>
      <c r="H331" s="49"/>
      <c r="I331">
        <v>0</v>
      </c>
    </row>
    <row r="332" spans="1:9">
      <c r="A332">
        <v>276</v>
      </c>
      <c r="B332" s="10" t="s">
        <v>806</v>
      </c>
      <c r="C332" s="10" t="s">
        <v>807</v>
      </c>
      <c r="D332" s="11" t="s">
        <v>808</v>
      </c>
      <c r="E332" s="30" t="s">
        <v>72</v>
      </c>
      <c r="F332" s="38">
        <v>2.5499999999999998</v>
      </c>
      <c r="G332">
        <f t="shared" ref="G332:G395" si="10" xml:space="preserve"> F332*I332</f>
        <v>0</v>
      </c>
      <c r="H332" s="49"/>
      <c r="I332">
        <v>0</v>
      </c>
    </row>
    <row r="333" spans="1:9">
      <c r="A333">
        <v>277</v>
      </c>
      <c r="B333" s="10" t="s">
        <v>809</v>
      </c>
      <c r="C333" s="10" t="s">
        <v>810</v>
      </c>
      <c r="D333" s="11" t="s">
        <v>811</v>
      </c>
      <c r="E333" s="30" t="s">
        <v>72</v>
      </c>
      <c r="F333" s="38">
        <v>4.41</v>
      </c>
      <c r="G333">
        <f t="shared" si="10"/>
        <v>0</v>
      </c>
      <c r="H333" s="49"/>
      <c r="I333">
        <f t="shared" ref="I333:I393" si="11">H333*F333</f>
        <v>0</v>
      </c>
    </row>
    <row r="334" spans="1:9">
      <c r="A334">
        <v>278</v>
      </c>
      <c r="B334" s="10" t="s">
        <v>812</v>
      </c>
      <c r="C334" s="10" t="s">
        <v>813</v>
      </c>
      <c r="D334" s="11" t="s">
        <v>814</v>
      </c>
      <c r="E334" s="30" t="s">
        <v>72</v>
      </c>
      <c r="F334" s="38">
        <v>24.99</v>
      </c>
      <c r="G334">
        <f t="shared" si="10"/>
        <v>0</v>
      </c>
      <c r="H334" s="49"/>
      <c r="I334">
        <v>0</v>
      </c>
    </row>
    <row r="335" spans="1:9">
      <c r="A335">
        <v>279</v>
      </c>
      <c r="B335" s="10" t="s">
        <v>898</v>
      </c>
      <c r="C335" s="10" t="s">
        <v>899</v>
      </c>
      <c r="D335" s="11" t="s">
        <v>900</v>
      </c>
      <c r="E335" s="30" t="s">
        <v>430</v>
      </c>
      <c r="F335" s="38">
        <v>1.55</v>
      </c>
      <c r="G335">
        <f t="shared" si="10"/>
        <v>31</v>
      </c>
      <c r="H335" s="49"/>
      <c r="I335">
        <v>20</v>
      </c>
    </row>
    <row r="336" spans="1:9">
      <c r="A336">
        <v>280</v>
      </c>
      <c r="B336" s="10" t="s">
        <v>901</v>
      </c>
      <c r="C336" s="10" t="s">
        <v>902</v>
      </c>
      <c r="D336" s="11" t="s">
        <v>903</v>
      </c>
      <c r="E336" s="30" t="s">
        <v>430</v>
      </c>
      <c r="F336" s="38">
        <v>1.1000000000000001</v>
      </c>
      <c r="G336">
        <f t="shared" si="10"/>
        <v>0</v>
      </c>
      <c r="H336" s="49"/>
      <c r="I336">
        <f t="shared" si="11"/>
        <v>0</v>
      </c>
    </row>
    <row r="337" spans="1:9">
      <c r="A337">
        <v>281</v>
      </c>
      <c r="B337" s="10" t="s">
        <v>904</v>
      </c>
      <c r="C337" s="10" t="s">
        <v>905</v>
      </c>
      <c r="D337" s="11" t="s">
        <v>906</v>
      </c>
      <c r="E337" s="30" t="s">
        <v>430</v>
      </c>
      <c r="F337" s="38">
        <v>2.4500000000000002</v>
      </c>
      <c r="G337">
        <f t="shared" si="10"/>
        <v>44.1</v>
      </c>
      <c r="H337" s="49"/>
      <c r="I337">
        <v>18</v>
      </c>
    </row>
    <row r="338" spans="1:9">
      <c r="A338">
        <v>282</v>
      </c>
      <c r="B338" s="10" t="s">
        <v>907</v>
      </c>
      <c r="C338" s="10" t="s">
        <v>908</v>
      </c>
      <c r="D338" s="11" t="s">
        <v>909</v>
      </c>
      <c r="E338" s="30" t="s">
        <v>431</v>
      </c>
      <c r="F338" s="38">
        <v>3.81</v>
      </c>
      <c r="G338">
        <f t="shared" si="10"/>
        <v>76.2</v>
      </c>
      <c r="H338" s="49"/>
      <c r="I338">
        <v>20</v>
      </c>
    </row>
    <row r="339" spans="1:9">
      <c r="A339">
        <v>283</v>
      </c>
      <c r="B339" s="10" t="s">
        <v>910</v>
      </c>
      <c r="C339" s="10" t="s">
        <v>911</v>
      </c>
      <c r="D339" s="11" t="s">
        <v>912</v>
      </c>
      <c r="E339" s="30" t="s">
        <v>429</v>
      </c>
      <c r="F339" s="38">
        <v>2.44</v>
      </c>
      <c r="G339">
        <f t="shared" si="10"/>
        <v>0</v>
      </c>
      <c r="H339" s="49"/>
      <c r="I339">
        <f t="shared" si="11"/>
        <v>0</v>
      </c>
    </row>
    <row r="340" spans="1:9">
      <c r="A340">
        <v>284</v>
      </c>
      <c r="B340" s="10" t="s">
        <v>913</v>
      </c>
      <c r="C340" s="10" t="s">
        <v>914</v>
      </c>
      <c r="D340" s="11" t="s">
        <v>915</v>
      </c>
      <c r="E340" s="30" t="s">
        <v>431</v>
      </c>
      <c r="F340" s="38">
        <v>0</v>
      </c>
      <c r="G340">
        <f t="shared" si="10"/>
        <v>0</v>
      </c>
      <c r="H340" s="49"/>
      <c r="I340">
        <f t="shared" si="11"/>
        <v>0</v>
      </c>
    </row>
    <row r="341" spans="1:9">
      <c r="A341">
        <v>285</v>
      </c>
      <c r="B341" s="10" t="s">
        <v>916</v>
      </c>
      <c r="C341" s="10" t="s">
        <v>917</v>
      </c>
      <c r="D341" s="11" t="s">
        <v>918</v>
      </c>
      <c r="E341" s="30" t="s">
        <v>431</v>
      </c>
      <c r="F341" s="38">
        <v>5.55</v>
      </c>
      <c r="G341">
        <f t="shared" si="10"/>
        <v>0</v>
      </c>
      <c r="H341" s="49"/>
      <c r="I341">
        <f t="shared" si="11"/>
        <v>0</v>
      </c>
    </row>
    <row r="342" spans="1:9">
      <c r="A342">
        <v>286</v>
      </c>
      <c r="B342" s="10" t="s">
        <v>907</v>
      </c>
      <c r="C342" s="10" t="s">
        <v>908</v>
      </c>
      <c r="D342" s="11" t="s">
        <v>909</v>
      </c>
      <c r="E342" s="30" t="s">
        <v>919</v>
      </c>
      <c r="F342" s="38">
        <v>11.44</v>
      </c>
      <c r="G342">
        <f t="shared" si="10"/>
        <v>0</v>
      </c>
      <c r="H342" s="49"/>
      <c r="I342">
        <f t="shared" si="11"/>
        <v>0</v>
      </c>
    </row>
    <row r="343" spans="1:9">
      <c r="A343">
        <v>287</v>
      </c>
      <c r="B343" s="10" t="s">
        <v>920</v>
      </c>
      <c r="C343" s="10" t="s">
        <v>921</v>
      </c>
      <c r="D343" s="11" t="s">
        <v>922</v>
      </c>
      <c r="E343" s="30" t="s">
        <v>1216</v>
      </c>
      <c r="F343" s="38">
        <v>8.3699999999999992</v>
      </c>
      <c r="G343">
        <f t="shared" si="10"/>
        <v>0</v>
      </c>
      <c r="H343" s="49"/>
      <c r="I343">
        <f t="shared" si="11"/>
        <v>0</v>
      </c>
    </row>
    <row r="344" spans="1:9">
      <c r="B344" s="10" t="s">
        <v>1303</v>
      </c>
      <c r="C344" s="10" t="s">
        <v>1303</v>
      </c>
      <c r="D344" s="11" t="s">
        <v>1304</v>
      </c>
      <c r="E344" s="30" t="s">
        <v>1216</v>
      </c>
      <c r="F344" s="38">
        <v>7.21</v>
      </c>
      <c r="G344">
        <f t="shared" si="10"/>
        <v>0</v>
      </c>
      <c r="H344" s="49"/>
      <c r="I344">
        <f t="shared" si="11"/>
        <v>0</v>
      </c>
    </row>
    <row r="345" spans="1:9">
      <c r="A345" s="5">
        <v>17</v>
      </c>
      <c r="B345" s="13" t="s">
        <v>815</v>
      </c>
      <c r="C345" s="13" t="s">
        <v>816</v>
      </c>
      <c r="D345" s="5" t="s">
        <v>817</v>
      </c>
      <c r="E345" s="5" t="s">
        <v>73</v>
      </c>
      <c r="F345" s="5" t="s">
        <v>74</v>
      </c>
      <c r="H345" s="49"/>
    </row>
    <row r="346" spans="1:9">
      <c r="A346">
        <v>288</v>
      </c>
      <c r="B346" s="10" t="s">
        <v>818</v>
      </c>
      <c r="C346" s="10" t="s">
        <v>819</v>
      </c>
      <c r="D346" s="11" t="s">
        <v>820</v>
      </c>
      <c r="E346" s="30" t="s">
        <v>159</v>
      </c>
      <c r="F346" s="38">
        <v>0.27</v>
      </c>
      <c r="G346">
        <f t="shared" si="10"/>
        <v>0</v>
      </c>
      <c r="H346" s="49"/>
      <c r="I346">
        <f t="shared" si="11"/>
        <v>0</v>
      </c>
    </row>
    <row r="347" spans="1:9">
      <c r="A347">
        <v>289</v>
      </c>
      <c r="B347" s="10" t="s">
        <v>821</v>
      </c>
      <c r="C347" s="10" t="s">
        <v>822</v>
      </c>
      <c r="D347" s="11" t="s">
        <v>823</v>
      </c>
      <c r="E347" s="30" t="s">
        <v>824</v>
      </c>
      <c r="F347" s="38">
        <v>1.25</v>
      </c>
      <c r="G347">
        <f t="shared" si="10"/>
        <v>37.5</v>
      </c>
      <c r="H347" s="49"/>
      <c r="I347">
        <v>30</v>
      </c>
    </row>
    <row r="348" spans="1:9">
      <c r="A348">
        <v>290</v>
      </c>
      <c r="B348" s="10" t="s">
        <v>825</v>
      </c>
      <c r="C348" s="10" t="s">
        <v>826</v>
      </c>
      <c r="D348" s="11" t="s">
        <v>827</v>
      </c>
      <c r="E348" s="30" t="s">
        <v>824</v>
      </c>
      <c r="F348" s="38">
        <v>1.25</v>
      </c>
      <c r="G348">
        <f t="shared" si="10"/>
        <v>0</v>
      </c>
      <c r="H348" s="49"/>
      <c r="I348">
        <v>0</v>
      </c>
    </row>
    <row r="349" spans="1:9">
      <c r="A349">
        <v>291</v>
      </c>
      <c r="B349" s="10" t="s">
        <v>828</v>
      </c>
      <c r="C349" s="10" t="s">
        <v>829</v>
      </c>
      <c r="D349" s="11" t="s">
        <v>830</v>
      </c>
      <c r="E349" s="30" t="s">
        <v>824</v>
      </c>
      <c r="F349" s="38">
        <v>1.25</v>
      </c>
      <c r="G349">
        <f t="shared" si="10"/>
        <v>0</v>
      </c>
      <c r="H349" s="49"/>
      <c r="I349">
        <f t="shared" si="11"/>
        <v>0</v>
      </c>
    </row>
    <row r="350" spans="1:9">
      <c r="A350">
        <v>292</v>
      </c>
      <c r="B350" s="10" t="s">
        <v>831</v>
      </c>
      <c r="C350" s="10" t="s">
        <v>832</v>
      </c>
      <c r="D350" s="11" t="s">
        <v>833</v>
      </c>
      <c r="E350" s="30" t="s">
        <v>824</v>
      </c>
      <c r="F350" s="38">
        <v>1.2</v>
      </c>
      <c r="G350">
        <f t="shared" si="10"/>
        <v>0</v>
      </c>
      <c r="H350" s="49"/>
      <c r="I350">
        <f t="shared" si="11"/>
        <v>0</v>
      </c>
    </row>
    <row r="351" spans="1:9">
      <c r="A351">
        <v>293</v>
      </c>
      <c r="B351" s="10" t="s">
        <v>834</v>
      </c>
      <c r="C351" s="10" t="s">
        <v>835</v>
      </c>
      <c r="D351" s="11" t="s">
        <v>836</v>
      </c>
      <c r="E351" s="30" t="s">
        <v>824</v>
      </c>
      <c r="F351" s="38">
        <v>1.35</v>
      </c>
      <c r="G351">
        <f t="shared" si="10"/>
        <v>6.75</v>
      </c>
      <c r="H351" s="49"/>
      <c r="I351">
        <v>5</v>
      </c>
    </row>
    <row r="352" spans="1:9">
      <c r="A352">
        <v>294</v>
      </c>
      <c r="B352" s="10" t="s">
        <v>837</v>
      </c>
      <c r="C352" s="10" t="s">
        <v>838</v>
      </c>
      <c r="D352" s="11" t="s">
        <v>839</v>
      </c>
      <c r="E352" s="30" t="s">
        <v>824</v>
      </c>
      <c r="F352" s="38">
        <v>1.35</v>
      </c>
      <c r="G352">
        <f t="shared" si="10"/>
        <v>6.75</v>
      </c>
      <c r="H352" s="49"/>
      <c r="I352">
        <v>5</v>
      </c>
    </row>
    <row r="353" spans="1:9">
      <c r="A353">
        <v>295</v>
      </c>
      <c r="B353" s="10" t="s">
        <v>840</v>
      </c>
      <c r="C353" s="10" t="s">
        <v>841</v>
      </c>
      <c r="D353" s="11" t="s">
        <v>842</v>
      </c>
      <c r="E353" s="30" t="s">
        <v>824</v>
      </c>
      <c r="F353" s="38">
        <v>1.79</v>
      </c>
      <c r="G353">
        <f t="shared" si="10"/>
        <v>8.9499999999999993</v>
      </c>
      <c r="H353" s="49"/>
      <c r="I353">
        <v>5</v>
      </c>
    </row>
    <row r="354" spans="1:9">
      <c r="A354">
        <v>296</v>
      </c>
      <c r="B354" s="11" t="s">
        <v>843</v>
      </c>
      <c r="C354" s="10" t="s">
        <v>844</v>
      </c>
      <c r="D354" s="10" t="s">
        <v>845</v>
      </c>
      <c r="E354" s="33" t="s">
        <v>430</v>
      </c>
      <c r="F354" s="38">
        <v>1.87</v>
      </c>
      <c r="G354">
        <f t="shared" si="10"/>
        <v>0</v>
      </c>
      <c r="H354" s="49"/>
      <c r="I354">
        <f t="shared" si="11"/>
        <v>0</v>
      </c>
    </row>
    <row r="355" spans="1:9">
      <c r="A355">
        <v>297</v>
      </c>
      <c r="B355" s="10" t="s">
        <v>846</v>
      </c>
      <c r="C355" s="10" t="s">
        <v>847</v>
      </c>
      <c r="D355" s="11" t="s">
        <v>848</v>
      </c>
      <c r="E355" s="30" t="s">
        <v>72</v>
      </c>
      <c r="F355" s="38">
        <v>5.88</v>
      </c>
      <c r="G355">
        <f t="shared" si="10"/>
        <v>0</v>
      </c>
      <c r="H355" s="49"/>
      <c r="I355">
        <f t="shared" si="11"/>
        <v>0</v>
      </c>
    </row>
    <row r="356" spans="1:9">
      <c r="B356" s="10" t="s">
        <v>1240</v>
      </c>
      <c r="C356" s="10" t="s">
        <v>1241</v>
      </c>
      <c r="D356" s="11" t="s">
        <v>1239</v>
      </c>
      <c r="E356" s="30" t="s">
        <v>159</v>
      </c>
      <c r="F356" s="38">
        <v>1.25</v>
      </c>
      <c r="G356">
        <f t="shared" si="10"/>
        <v>0</v>
      </c>
      <c r="H356" s="49"/>
      <c r="I356">
        <f t="shared" si="11"/>
        <v>0</v>
      </c>
    </row>
    <row r="357" spans="1:9">
      <c r="B357" s="10" t="s">
        <v>1305</v>
      </c>
      <c r="C357" s="10" t="s">
        <v>1306</v>
      </c>
      <c r="D357" s="11" t="s">
        <v>1307</v>
      </c>
      <c r="E357" s="30" t="s">
        <v>159</v>
      </c>
      <c r="F357" s="38">
        <v>0.75</v>
      </c>
      <c r="G357">
        <f t="shared" si="10"/>
        <v>0</v>
      </c>
      <c r="H357" s="49"/>
      <c r="I357">
        <v>0</v>
      </c>
    </row>
    <row r="358" spans="1:9">
      <c r="B358" s="10" t="s">
        <v>1308</v>
      </c>
      <c r="C358" s="10" t="s">
        <v>1309</v>
      </c>
      <c r="D358" s="11" t="s">
        <v>1310</v>
      </c>
      <c r="E358" s="30" t="s">
        <v>159</v>
      </c>
      <c r="F358" s="38">
        <v>0.75</v>
      </c>
      <c r="G358">
        <f t="shared" si="10"/>
        <v>0</v>
      </c>
      <c r="H358" s="49"/>
      <c r="I358">
        <f t="shared" si="11"/>
        <v>0</v>
      </c>
    </row>
    <row r="359" spans="1:9">
      <c r="A359" s="25">
        <v>18</v>
      </c>
      <c r="B359" s="5" t="s">
        <v>849</v>
      </c>
      <c r="C359" s="5" t="s">
        <v>850</v>
      </c>
      <c r="D359" s="5" t="s">
        <v>851</v>
      </c>
      <c r="E359" s="5" t="s">
        <v>73</v>
      </c>
      <c r="F359" s="5" t="s">
        <v>74</v>
      </c>
      <c r="H359" s="49"/>
    </row>
    <row r="360" spans="1:9">
      <c r="A360">
        <v>298</v>
      </c>
      <c r="B360" s="10" t="s">
        <v>852</v>
      </c>
      <c r="C360" s="10" t="s">
        <v>853</v>
      </c>
      <c r="D360" s="11" t="s">
        <v>854</v>
      </c>
      <c r="E360" s="30" t="s">
        <v>855</v>
      </c>
      <c r="F360" s="32">
        <v>0.44</v>
      </c>
      <c r="G360">
        <f t="shared" si="10"/>
        <v>66</v>
      </c>
      <c r="H360" s="49"/>
      <c r="I360">
        <v>150</v>
      </c>
    </row>
    <row r="361" spans="1:9">
      <c r="A361">
        <v>299</v>
      </c>
      <c r="B361" s="10" t="s">
        <v>856</v>
      </c>
      <c r="C361" s="10" t="s">
        <v>857</v>
      </c>
      <c r="D361" s="11" t="s">
        <v>858</v>
      </c>
      <c r="E361" s="30" t="s">
        <v>855</v>
      </c>
      <c r="F361" s="32">
        <v>0.44</v>
      </c>
      <c r="G361">
        <f t="shared" si="10"/>
        <v>7.92</v>
      </c>
      <c r="H361" s="49"/>
      <c r="I361">
        <v>18</v>
      </c>
    </row>
    <row r="362" spans="1:9">
      <c r="A362">
        <v>300</v>
      </c>
      <c r="B362" s="10" t="s">
        <v>859</v>
      </c>
      <c r="C362" s="10" t="s">
        <v>860</v>
      </c>
      <c r="D362" s="11" t="s">
        <v>861</v>
      </c>
      <c r="E362" s="30" t="s">
        <v>431</v>
      </c>
      <c r="F362" s="32">
        <v>1.1399999999999999</v>
      </c>
      <c r="G362">
        <f t="shared" si="10"/>
        <v>0</v>
      </c>
      <c r="H362" s="49"/>
      <c r="I362">
        <v>0</v>
      </c>
    </row>
    <row r="363" spans="1:9">
      <c r="A363">
        <v>301</v>
      </c>
      <c r="B363" s="10" t="s">
        <v>862</v>
      </c>
      <c r="C363" s="10" t="s">
        <v>863</v>
      </c>
      <c r="D363" s="11" t="s">
        <v>864</v>
      </c>
      <c r="E363" s="30" t="s">
        <v>431</v>
      </c>
      <c r="F363" s="32">
        <v>1.1299999999999999</v>
      </c>
      <c r="G363">
        <f t="shared" si="10"/>
        <v>0</v>
      </c>
      <c r="H363" s="49"/>
      <c r="I363">
        <f t="shared" si="11"/>
        <v>0</v>
      </c>
    </row>
    <row r="364" spans="1:9">
      <c r="A364">
        <v>302</v>
      </c>
      <c r="B364" s="10" t="s">
        <v>865</v>
      </c>
      <c r="C364" s="10" t="s">
        <v>866</v>
      </c>
      <c r="D364" s="11" t="s">
        <v>867</v>
      </c>
      <c r="E364" s="30" t="s">
        <v>431</v>
      </c>
      <c r="F364" s="32">
        <v>1.73</v>
      </c>
      <c r="G364">
        <f t="shared" si="10"/>
        <v>6.92</v>
      </c>
      <c r="H364" s="49"/>
      <c r="I364">
        <v>4</v>
      </c>
    </row>
    <row r="365" spans="1:9">
      <c r="A365">
        <v>303</v>
      </c>
      <c r="B365" s="10" t="s">
        <v>868</v>
      </c>
      <c r="C365" s="10" t="s">
        <v>869</v>
      </c>
      <c r="D365" s="11" t="s">
        <v>870</v>
      </c>
      <c r="E365" s="30" t="s">
        <v>431</v>
      </c>
      <c r="F365" s="32">
        <v>1.43</v>
      </c>
      <c r="G365">
        <f t="shared" si="10"/>
        <v>5.72</v>
      </c>
      <c r="H365" s="49"/>
      <c r="I365">
        <v>4</v>
      </c>
    </row>
    <row r="366" spans="1:9">
      <c r="A366">
        <v>304</v>
      </c>
      <c r="B366" s="10" t="s">
        <v>871</v>
      </c>
      <c r="C366" s="10" t="s">
        <v>872</v>
      </c>
      <c r="D366" s="11" t="s">
        <v>873</v>
      </c>
      <c r="E366" s="30" t="s">
        <v>431</v>
      </c>
      <c r="F366" s="32">
        <v>1.65</v>
      </c>
      <c r="G366">
        <f t="shared" si="10"/>
        <v>6.6</v>
      </c>
      <c r="H366" s="49"/>
      <c r="I366">
        <v>4</v>
      </c>
    </row>
    <row r="367" spans="1:9">
      <c r="A367">
        <v>305</v>
      </c>
      <c r="B367" s="10" t="s">
        <v>874</v>
      </c>
      <c r="C367" s="10" t="s">
        <v>875</v>
      </c>
      <c r="D367" s="11" t="s">
        <v>876</v>
      </c>
      <c r="E367" s="30" t="s">
        <v>431</v>
      </c>
      <c r="F367" s="32">
        <v>1.48</v>
      </c>
      <c r="G367">
        <f t="shared" si="10"/>
        <v>0</v>
      </c>
      <c r="H367" s="49"/>
      <c r="I367">
        <v>0</v>
      </c>
    </row>
    <row r="368" spans="1:9">
      <c r="A368">
        <v>306</v>
      </c>
      <c r="B368" s="10" t="s">
        <v>877</v>
      </c>
      <c r="C368" s="10" t="s">
        <v>878</v>
      </c>
      <c r="D368" s="11" t="s">
        <v>879</v>
      </c>
      <c r="E368" s="30" t="s">
        <v>431</v>
      </c>
      <c r="F368" s="32">
        <v>1.71</v>
      </c>
      <c r="G368">
        <f t="shared" si="10"/>
        <v>6.84</v>
      </c>
      <c r="H368" s="49"/>
      <c r="I368">
        <v>4</v>
      </c>
    </row>
    <row r="369" spans="1:9">
      <c r="A369">
        <v>307</v>
      </c>
      <c r="B369" s="10" t="s">
        <v>880</v>
      </c>
      <c r="C369" s="10" t="s">
        <v>881</v>
      </c>
      <c r="D369" s="11" t="s">
        <v>882</v>
      </c>
      <c r="E369" s="30" t="s">
        <v>431</v>
      </c>
      <c r="F369" s="32">
        <v>1.71</v>
      </c>
      <c r="G369">
        <f t="shared" si="10"/>
        <v>6.84</v>
      </c>
      <c r="H369" s="49"/>
      <c r="I369">
        <v>4</v>
      </c>
    </row>
    <row r="370" spans="1:9">
      <c r="A370">
        <v>308</v>
      </c>
      <c r="B370" s="10" t="s">
        <v>883</v>
      </c>
      <c r="C370" s="10" t="s">
        <v>884</v>
      </c>
      <c r="D370" s="11" t="s">
        <v>885</v>
      </c>
      <c r="E370" s="30" t="s">
        <v>613</v>
      </c>
      <c r="F370" s="32">
        <v>1.55</v>
      </c>
      <c r="G370">
        <f t="shared" si="10"/>
        <v>0</v>
      </c>
      <c r="H370" s="49"/>
      <c r="I370">
        <f t="shared" si="11"/>
        <v>0</v>
      </c>
    </row>
    <row r="371" spans="1:9">
      <c r="A371">
        <v>309</v>
      </c>
      <c r="B371" s="10" t="s">
        <v>886</v>
      </c>
      <c r="C371" s="10" t="s">
        <v>887</v>
      </c>
      <c r="D371" s="11" t="s">
        <v>888</v>
      </c>
      <c r="E371" s="30" t="s">
        <v>431</v>
      </c>
      <c r="F371" s="32">
        <v>1.89</v>
      </c>
      <c r="G371">
        <f t="shared" si="10"/>
        <v>7.56</v>
      </c>
      <c r="H371" s="49"/>
      <c r="I371">
        <v>4</v>
      </c>
    </row>
    <row r="372" spans="1:9">
      <c r="A372">
        <v>310</v>
      </c>
      <c r="B372" s="10" t="s">
        <v>889</v>
      </c>
      <c r="C372" s="10" t="s">
        <v>890</v>
      </c>
      <c r="D372" s="11" t="s">
        <v>891</v>
      </c>
      <c r="E372" s="30" t="s">
        <v>431</v>
      </c>
      <c r="F372" s="32">
        <v>1.89</v>
      </c>
      <c r="G372">
        <f t="shared" si="10"/>
        <v>7.56</v>
      </c>
      <c r="H372" s="49"/>
      <c r="I372">
        <v>4</v>
      </c>
    </row>
    <row r="373" spans="1:9">
      <c r="A373">
        <v>311</v>
      </c>
      <c r="B373" s="10" t="s">
        <v>892</v>
      </c>
      <c r="C373" s="10" t="s">
        <v>893</v>
      </c>
      <c r="D373" s="11" t="s">
        <v>894</v>
      </c>
      <c r="E373" s="30" t="s">
        <v>431</v>
      </c>
      <c r="F373" s="32">
        <v>1.89</v>
      </c>
      <c r="G373">
        <f t="shared" si="10"/>
        <v>7.56</v>
      </c>
      <c r="H373" s="49"/>
      <c r="I373">
        <v>4</v>
      </c>
    </row>
    <row r="374" spans="1:9">
      <c r="A374">
        <v>312</v>
      </c>
      <c r="B374" s="10" t="s">
        <v>895</v>
      </c>
      <c r="C374" s="10" t="s">
        <v>895</v>
      </c>
      <c r="D374" s="10" t="s">
        <v>895</v>
      </c>
      <c r="E374" s="30">
        <v>0.33</v>
      </c>
      <c r="F374" s="38">
        <v>0.91</v>
      </c>
      <c r="G374">
        <f t="shared" si="10"/>
        <v>0</v>
      </c>
      <c r="H374" s="49"/>
      <c r="I374">
        <f t="shared" si="11"/>
        <v>0</v>
      </c>
    </row>
    <row r="375" spans="1:9">
      <c r="A375">
        <v>313</v>
      </c>
      <c r="B375" s="10" t="s">
        <v>896</v>
      </c>
      <c r="C375" s="10" t="s">
        <v>896</v>
      </c>
      <c r="D375" s="10" t="s">
        <v>896</v>
      </c>
      <c r="E375" s="30">
        <v>0.33</v>
      </c>
      <c r="F375" s="38">
        <v>0.91</v>
      </c>
      <c r="G375">
        <f t="shared" si="10"/>
        <v>0</v>
      </c>
      <c r="H375" s="49"/>
      <c r="I375">
        <f t="shared" si="11"/>
        <v>0</v>
      </c>
    </row>
    <row r="376" spans="1:9">
      <c r="A376">
        <v>314</v>
      </c>
      <c r="B376" s="10" t="s">
        <v>897</v>
      </c>
      <c r="C376" s="10" t="s">
        <v>897</v>
      </c>
      <c r="D376" s="10" t="s">
        <v>897</v>
      </c>
      <c r="E376" s="30">
        <v>0.33</v>
      </c>
      <c r="F376" s="38">
        <v>0.91</v>
      </c>
      <c r="G376">
        <f t="shared" si="10"/>
        <v>0</v>
      </c>
      <c r="H376" s="49"/>
      <c r="I376">
        <f t="shared" si="11"/>
        <v>0</v>
      </c>
    </row>
    <row r="377" spans="1:9">
      <c r="A377" s="5">
        <v>19</v>
      </c>
      <c r="B377" s="4" t="s">
        <v>1018</v>
      </c>
      <c r="C377" s="4" t="s">
        <v>1019</v>
      </c>
      <c r="D377" s="7" t="s">
        <v>1020</v>
      </c>
      <c r="E377" s="5" t="s">
        <v>73</v>
      </c>
      <c r="F377" s="5" t="s">
        <v>74</v>
      </c>
      <c r="H377" s="49"/>
    </row>
    <row r="378" spans="1:9">
      <c r="A378">
        <v>315</v>
      </c>
      <c r="B378" s="19" t="s">
        <v>923</v>
      </c>
      <c r="C378" s="19" t="s">
        <v>924</v>
      </c>
      <c r="D378" s="26" t="s">
        <v>925</v>
      </c>
      <c r="E378" s="34" t="s">
        <v>430</v>
      </c>
      <c r="F378" s="39">
        <v>1.1499999999999999</v>
      </c>
      <c r="G378">
        <f t="shared" si="10"/>
        <v>5.75</v>
      </c>
      <c r="H378" s="49"/>
      <c r="I378">
        <v>5</v>
      </c>
    </row>
    <row r="379" spans="1:9">
      <c r="A379">
        <v>316</v>
      </c>
      <c r="B379" s="19" t="s">
        <v>926</v>
      </c>
      <c r="C379" s="19" t="s">
        <v>927</v>
      </c>
      <c r="D379" s="26" t="s">
        <v>928</v>
      </c>
      <c r="E379" s="34" t="s">
        <v>430</v>
      </c>
      <c r="F379" s="39">
        <v>1.1499999999999999</v>
      </c>
      <c r="G379">
        <f t="shared" si="10"/>
        <v>23</v>
      </c>
      <c r="H379" s="49"/>
      <c r="I379">
        <v>20</v>
      </c>
    </row>
    <row r="380" spans="1:9">
      <c r="A380">
        <v>317</v>
      </c>
      <c r="B380" s="19" t="s">
        <v>929</v>
      </c>
      <c r="C380" s="19" t="s">
        <v>930</v>
      </c>
      <c r="D380" s="26" t="s">
        <v>931</v>
      </c>
      <c r="E380" s="34" t="s">
        <v>430</v>
      </c>
      <c r="F380" s="39">
        <v>1.28</v>
      </c>
      <c r="G380">
        <f t="shared" si="10"/>
        <v>7.68</v>
      </c>
      <c r="H380" s="49"/>
      <c r="I380">
        <v>6</v>
      </c>
    </row>
    <row r="381" spans="1:9">
      <c r="A381">
        <v>318</v>
      </c>
      <c r="B381" s="19" t="s">
        <v>1338</v>
      </c>
      <c r="C381" s="19" t="s">
        <v>1337</v>
      </c>
      <c r="D381" s="26" t="s">
        <v>932</v>
      </c>
      <c r="E381" s="34" t="s">
        <v>430</v>
      </c>
      <c r="F381" s="39">
        <v>2.35</v>
      </c>
      <c r="G381">
        <f t="shared" si="10"/>
        <v>4.7</v>
      </c>
      <c r="H381" s="49"/>
      <c r="I381">
        <v>2</v>
      </c>
    </row>
    <row r="382" spans="1:9">
      <c r="A382">
        <v>319</v>
      </c>
      <c r="B382" s="19" t="s">
        <v>933</v>
      </c>
      <c r="C382" s="19" t="s">
        <v>934</v>
      </c>
      <c r="D382" s="26" t="s">
        <v>935</v>
      </c>
      <c r="E382" s="34" t="s">
        <v>430</v>
      </c>
      <c r="F382" s="39">
        <v>5.41</v>
      </c>
      <c r="G382">
        <f t="shared" si="10"/>
        <v>0</v>
      </c>
      <c r="H382" s="49"/>
      <c r="I382">
        <v>0</v>
      </c>
    </row>
    <row r="383" spans="1:9">
      <c r="A383">
        <v>320</v>
      </c>
      <c r="B383" s="19" t="s">
        <v>936</v>
      </c>
      <c r="C383" s="19" t="s">
        <v>937</v>
      </c>
      <c r="D383" s="26" t="s">
        <v>938</v>
      </c>
      <c r="E383" s="34" t="s">
        <v>430</v>
      </c>
      <c r="F383" s="39">
        <v>5.65</v>
      </c>
      <c r="G383">
        <f t="shared" si="10"/>
        <v>0</v>
      </c>
      <c r="H383" s="49"/>
      <c r="I383">
        <v>0</v>
      </c>
    </row>
    <row r="384" spans="1:9">
      <c r="A384">
        <v>321</v>
      </c>
      <c r="B384" s="19" t="s">
        <v>939</v>
      </c>
      <c r="C384" s="19" t="s">
        <v>940</v>
      </c>
      <c r="D384" s="26" t="s">
        <v>941</v>
      </c>
      <c r="E384" s="34" t="s">
        <v>430</v>
      </c>
      <c r="F384" s="39">
        <v>3.66</v>
      </c>
      <c r="G384">
        <f t="shared" si="10"/>
        <v>7.32</v>
      </c>
      <c r="H384" s="49"/>
      <c r="I384">
        <v>2</v>
      </c>
    </row>
    <row r="385" spans="1:9">
      <c r="A385">
        <v>322</v>
      </c>
      <c r="B385" s="19" t="s">
        <v>942</v>
      </c>
      <c r="C385" s="19" t="s">
        <v>943</v>
      </c>
      <c r="D385" s="26" t="s">
        <v>944</v>
      </c>
      <c r="E385" s="34" t="s">
        <v>349</v>
      </c>
      <c r="F385" s="39">
        <v>4.55</v>
      </c>
      <c r="G385">
        <f t="shared" si="10"/>
        <v>0</v>
      </c>
      <c r="H385" s="49"/>
      <c r="I385">
        <f t="shared" si="11"/>
        <v>0</v>
      </c>
    </row>
    <row r="386" spans="1:9">
      <c r="A386">
        <v>323</v>
      </c>
      <c r="B386" s="19" t="s">
        <v>945</v>
      </c>
      <c r="C386" s="19" t="s">
        <v>1212</v>
      </c>
      <c r="D386" s="26" t="s">
        <v>1282</v>
      </c>
      <c r="E386" s="34" t="s">
        <v>430</v>
      </c>
      <c r="F386" s="39">
        <v>5.77</v>
      </c>
      <c r="G386">
        <f t="shared" si="10"/>
        <v>0</v>
      </c>
      <c r="H386" s="49"/>
      <c r="I386">
        <f t="shared" si="11"/>
        <v>0</v>
      </c>
    </row>
    <row r="387" spans="1:9">
      <c r="A387">
        <v>324</v>
      </c>
      <c r="B387" s="19" t="s">
        <v>946</v>
      </c>
      <c r="C387" s="19" t="s">
        <v>947</v>
      </c>
      <c r="D387" s="26" t="s">
        <v>948</v>
      </c>
      <c r="E387" s="34" t="s">
        <v>430</v>
      </c>
      <c r="F387" s="39">
        <v>8.2200000000000006</v>
      </c>
      <c r="G387">
        <f t="shared" si="10"/>
        <v>65.760000000000005</v>
      </c>
      <c r="H387" s="49"/>
      <c r="I387">
        <v>8</v>
      </c>
    </row>
    <row r="388" spans="1:9">
      <c r="A388">
        <v>325</v>
      </c>
      <c r="B388" s="19" t="s">
        <v>949</v>
      </c>
      <c r="C388" s="19" t="s">
        <v>950</v>
      </c>
      <c r="D388" s="26" t="s">
        <v>951</v>
      </c>
      <c r="E388" s="34" t="s">
        <v>349</v>
      </c>
      <c r="F388" s="39">
        <v>7.22</v>
      </c>
      <c r="G388">
        <f t="shared" si="10"/>
        <v>0</v>
      </c>
      <c r="H388" s="49"/>
      <c r="I388">
        <f t="shared" si="11"/>
        <v>0</v>
      </c>
    </row>
    <row r="389" spans="1:9">
      <c r="A389">
        <v>326</v>
      </c>
      <c r="B389" s="19" t="s">
        <v>952</v>
      </c>
      <c r="C389" s="19" t="s">
        <v>953</v>
      </c>
      <c r="D389" s="26" t="s">
        <v>954</v>
      </c>
      <c r="E389" s="34" t="s">
        <v>349</v>
      </c>
      <c r="F389" s="39">
        <v>10.56</v>
      </c>
      <c r="G389">
        <f t="shared" si="10"/>
        <v>84.48</v>
      </c>
      <c r="H389" s="49"/>
      <c r="I389">
        <v>8</v>
      </c>
    </row>
    <row r="390" spans="1:9">
      <c r="A390">
        <v>327</v>
      </c>
      <c r="B390" s="19" t="s">
        <v>955</v>
      </c>
      <c r="C390" s="19" t="s">
        <v>956</v>
      </c>
      <c r="D390" s="26" t="s">
        <v>1256</v>
      </c>
      <c r="E390" s="34" t="s">
        <v>349</v>
      </c>
      <c r="F390" s="39">
        <v>10.5</v>
      </c>
      <c r="G390">
        <f t="shared" si="10"/>
        <v>21</v>
      </c>
      <c r="H390" s="49"/>
      <c r="I390">
        <v>2</v>
      </c>
    </row>
    <row r="391" spans="1:9">
      <c r="A391">
        <v>328</v>
      </c>
      <c r="B391" s="19" t="s">
        <v>957</v>
      </c>
      <c r="C391" s="19" t="s">
        <v>958</v>
      </c>
      <c r="D391" s="26" t="s">
        <v>959</v>
      </c>
      <c r="E391" s="34" t="s">
        <v>72</v>
      </c>
      <c r="F391" s="39">
        <v>19.55</v>
      </c>
      <c r="G391">
        <f t="shared" si="10"/>
        <v>19.55</v>
      </c>
      <c r="H391" s="49"/>
      <c r="I391">
        <v>1</v>
      </c>
    </row>
    <row r="392" spans="1:9">
      <c r="A392">
        <v>329</v>
      </c>
      <c r="B392" s="19" t="s">
        <v>1213</v>
      </c>
      <c r="C392" s="19" t="s">
        <v>1195</v>
      </c>
      <c r="D392" s="26" t="s">
        <v>1254</v>
      </c>
      <c r="E392" t="s">
        <v>430</v>
      </c>
      <c r="F392" s="39">
        <v>6.55</v>
      </c>
      <c r="G392">
        <f t="shared" si="10"/>
        <v>0</v>
      </c>
      <c r="H392" s="49"/>
      <c r="I392">
        <v>0</v>
      </c>
    </row>
    <row r="393" spans="1:9">
      <c r="B393" s="19"/>
      <c r="C393" s="19"/>
      <c r="D393" s="26"/>
      <c r="E393" s="34"/>
      <c r="F393" s="39"/>
      <c r="G393">
        <f t="shared" si="10"/>
        <v>0</v>
      </c>
      <c r="H393" s="49"/>
      <c r="I393">
        <f t="shared" si="11"/>
        <v>0</v>
      </c>
    </row>
    <row r="394" spans="1:9">
      <c r="A394" s="5">
        <v>20</v>
      </c>
      <c r="B394" s="4" t="s">
        <v>960</v>
      </c>
      <c r="C394" s="4" t="s">
        <v>961</v>
      </c>
      <c r="D394" s="7" t="s">
        <v>962</v>
      </c>
      <c r="E394" s="5" t="s">
        <v>73</v>
      </c>
      <c r="F394" s="5" t="s">
        <v>74</v>
      </c>
      <c r="H394" s="49"/>
    </row>
    <row r="395" spans="1:9">
      <c r="A395">
        <v>330</v>
      </c>
      <c r="B395" s="10" t="s">
        <v>963</v>
      </c>
      <c r="C395" s="10" t="s">
        <v>964</v>
      </c>
      <c r="D395" s="10" t="s">
        <v>965</v>
      </c>
      <c r="E395" s="30" t="s">
        <v>159</v>
      </c>
      <c r="F395" s="32">
        <v>0.51</v>
      </c>
      <c r="G395">
        <f t="shared" si="10"/>
        <v>0</v>
      </c>
      <c r="H395" s="49"/>
      <c r="I395">
        <f t="shared" ref="I395:I457" si="12">H395*F395</f>
        <v>0</v>
      </c>
    </row>
    <row r="396" spans="1:9">
      <c r="A396">
        <v>331</v>
      </c>
      <c r="B396" s="10" t="s">
        <v>966</v>
      </c>
      <c r="C396" s="10" t="s">
        <v>967</v>
      </c>
      <c r="D396" s="11" t="s">
        <v>968</v>
      </c>
      <c r="E396" s="30" t="s">
        <v>159</v>
      </c>
      <c r="F396" s="32">
        <v>0.6</v>
      </c>
      <c r="G396">
        <f t="shared" ref="G396:G459" si="13" xml:space="preserve"> F396*I396</f>
        <v>0</v>
      </c>
      <c r="H396" s="49"/>
      <c r="I396">
        <f t="shared" si="12"/>
        <v>0</v>
      </c>
    </row>
    <row r="397" spans="1:9">
      <c r="A397">
        <v>332</v>
      </c>
      <c r="B397" s="10" t="s">
        <v>969</v>
      </c>
      <c r="C397" s="10" t="s">
        <v>970</v>
      </c>
      <c r="D397" s="11" t="s">
        <v>971</v>
      </c>
      <c r="E397" s="30" t="s">
        <v>430</v>
      </c>
      <c r="F397" s="32">
        <v>0.99</v>
      </c>
      <c r="G397">
        <f t="shared" si="13"/>
        <v>0</v>
      </c>
      <c r="H397" s="49"/>
      <c r="I397">
        <f t="shared" si="12"/>
        <v>0</v>
      </c>
    </row>
    <row r="398" spans="1:9">
      <c r="A398">
        <v>333</v>
      </c>
      <c r="B398" s="10" t="s">
        <v>972</v>
      </c>
      <c r="C398" s="10" t="s">
        <v>973</v>
      </c>
      <c r="D398" s="11" t="s">
        <v>974</v>
      </c>
      <c r="E398" s="30" t="s">
        <v>430</v>
      </c>
      <c r="F398" s="32">
        <v>1.01</v>
      </c>
      <c r="G398">
        <f t="shared" si="13"/>
        <v>3.0300000000000002</v>
      </c>
      <c r="H398" s="49"/>
      <c r="I398">
        <v>3</v>
      </c>
    </row>
    <row r="399" spans="1:9">
      <c r="A399">
        <v>334</v>
      </c>
      <c r="B399" s="10" t="s">
        <v>1214</v>
      </c>
      <c r="C399" s="10" t="s">
        <v>975</v>
      </c>
      <c r="D399" s="11" t="s">
        <v>976</v>
      </c>
      <c r="E399" s="30" t="s">
        <v>430</v>
      </c>
      <c r="F399" s="32">
        <v>1.02</v>
      </c>
      <c r="G399">
        <f t="shared" si="13"/>
        <v>2.04</v>
      </c>
      <c r="H399" s="49"/>
      <c r="I399">
        <v>2</v>
      </c>
    </row>
    <row r="400" spans="1:9">
      <c r="A400">
        <v>335</v>
      </c>
      <c r="B400" s="10" t="s">
        <v>977</v>
      </c>
      <c r="C400" s="10" t="s">
        <v>978</v>
      </c>
      <c r="D400" s="11" t="s">
        <v>979</v>
      </c>
      <c r="E400" s="30" t="s">
        <v>430</v>
      </c>
      <c r="F400" s="32">
        <v>1.0900000000000001</v>
      </c>
      <c r="G400">
        <f t="shared" si="13"/>
        <v>3.2700000000000005</v>
      </c>
      <c r="H400" s="49"/>
      <c r="I400">
        <v>3</v>
      </c>
    </row>
    <row r="401" spans="1:9">
      <c r="A401">
        <v>336</v>
      </c>
      <c r="B401" s="10" t="s">
        <v>980</v>
      </c>
      <c r="C401" s="10" t="s">
        <v>981</v>
      </c>
      <c r="D401" s="11" t="s">
        <v>982</v>
      </c>
      <c r="E401" s="30" t="s">
        <v>430</v>
      </c>
      <c r="F401" s="32">
        <v>4.13</v>
      </c>
      <c r="G401">
        <f t="shared" si="13"/>
        <v>0</v>
      </c>
      <c r="H401" s="49"/>
      <c r="I401">
        <f t="shared" si="12"/>
        <v>0</v>
      </c>
    </row>
    <row r="402" spans="1:9">
      <c r="A402">
        <v>337</v>
      </c>
      <c r="B402" s="10" t="s">
        <v>983</v>
      </c>
      <c r="C402" s="10" t="s">
        <v>984</v>
      </c>
      <c r="D402" s="11" t="s">
        <v>985</v>
      </c>
      <c r="E402" s="30" t="s">
        <v>431</v>
      </c>
      <c r="F402" s="32">
        <v>2.99</v>
      </c>
      <c r="G402">
        <f t="shared" si="13"/>
        <v>23.92</v>
      </c>
      <c r="H402" s="49"/>
      <c r="I402">
        <v>8</v>
      </c>
    </row>
    <row r="403" spans="1:9">
      <c r="A403">
        <v>338</v>
      </c>
      <c r="B403" s="10" t="s">
        <v>986</v>
      </c>
      <c r="C403" s="10" t="s">
        <v>987</v>
      </c>
      <c r="D403" s="11" t="s">
        <v>988</v>
      </c>
      <c r="E403" s="30" t="s">
        <v>349</v>
      </c>
      <c r="F403" s="32">
        <v>3.55</v>
      </c>
      <c r="G403">
        <f t="shared" si="13"/>
        <v>14.2</v>
      </c>
      <c r="H403" s="49"/>
      <c r="I403">
        <v>4</v>
      </c>
    </row>
    <row r="404" spans="1:9">
      <c r="A404">
        <v>339</v>
      </c>
      <c r="B404" s="10" t="s">
        <v>989</v>
      </c>
      <c r="C404" s="10" t="s">
        <v>990</v>
      </c>
      <c r="D404" s="11" t="s">
        <v>991</v>
      </c>
      <c r="E404" s="30" t="s">
        <v>72</v>
      </c>
      <c r="F404" s="32">
        <v>4.4000000000000004</v>
      </c>
      <c r="G404">
        <f t="shared" si="13"/>
        <v>8.8000000000000007</v>
      </c>
      <c r="H404" s="49"/>
      <c r="I404">
        <v>2</v>
      </c>
    </row>
    <row r="405" spans="1:9">
      <c r="A405">
        <v>340</v>
      </c>
      <c r="B405" s="10" t="s">
        <v>992</v>
      </c>
      <c r="C405" s="10" t="s">
        <v>993</v>
      </c>
      <c r="D405" s="11" t="s">
        <v>994</v>
      </c>
      <c r="E405" s="30" t="s">
        <v>72</v>
      </c>
      <c r="F405" s="32">
        <v>4.67</v>
      </c>
      <c r="G405">
        <f t="shared" si="13"/>
        <v>0</v>
      </c>
      <c r="H405" s="49"/>
      <c r="I405">
        <v>0</v>
      </c>
    </row>
    <row r="406" spans="1:9">
      <c r="A406">
        <v>341</v>
      </c>
      <c r="B406" s="10" t="s">
        <v>995</v>
      </c>
      <c r="C406" s="10" t="s">
        <v>996</v>
      </c>
      <c r="D406" s="11" t="s">
        <v>997</v>
      </c>
      <c r="E406" s="30" t="s">
        <v>72</v>
      </c>
      <c r="F406" s="32">
        <v>5.2</v>
      </c>
      <c r="G406">
        <f t="shared" si="13"/>
        <v>15.600000000000001</v>
      </c>
      <c r="H406" s="49"/>
      <c r="I406">
        <v>3</v>
      </c>
    </row>
    <row r="407" spans="1:9">
      <c r="A407">
        <v>342</v>
      </c>
      <c r="B407" s="10" t="s">
        <v>998</v>
      </c>
      <c r="C407" s="10" t="s">
        <v>999</v>
      </c>
      <c r="D407" s="11" t="s">
        <v>1215</v>
      </c>
      <c r="E407" s="30" t="s">
        <v>349</v>
      </c>
      <c r="F407" s="32">
        <v>4.28</v>
      </c>
      <c r="G407">
        <f t="shared" si="13"/>
        <v>17.12</v>
      </c>
      <c r="H407" s="49"/>
      <c r="I407">
        <v>4</v>
      </c>
    </row>
    <row r="408" spans="1:9">
      <c r="A408">
        <v>343</v>
      </c>
      <c r="B408" s="10" t="s">
        <v>1000</v>
      </c>
      <c r="C408" s="10" t="s">
        <v>1001</v>
      </c>
      <c r="D408" s="11" t="s">
        <v>1002</v>
      </c>
      <c r="E408" s="30" t="s">
        <v>72</v>
      </c>
      <c r="F408" s="32">
        <v>4.46</v>
      </c>
      <c r="G408">
        <f t="shared" si="13"/>
        <v>8.92</v>
      </c>
      <c r="H408" s="49"/>
      <c r="I408">
        <v>2</v>
      </c>
    </row>
    <row r="409" spans="1:9">
      <c r="A409">
        <v>344</v>
      </c>
      <c r="B409" s="10" t="s">
        <v>1003</v>
      </c>
      <c r="C409" s="10" t="s">
        <v>1004</v>
      </c>
      <c r="D409" s="11" t="s">
        <v>1005</v>
      </c>
      <c r="E409" s="30" t="s">
        <v>72</v>
      </c>
      <c r="F409" s="32">
        <v>5.22</v>
      </c>
      <c r="G409">
        <f t="shared" si="13"/>
        <v>0</v>
      </c>
      <c r="H409" s="49"/>
      <c r="I409">
        <f t="shared" si="12"/>
        <v>0</v>
      </c>
    </row>
    <row r="410" spans="1:9">
      <c r="A410">
        <v>345</v>
      </c>
      <c r="B410" s="10" t="s">
        <v>1006</v>
      </c>
      <c r="C410" s="10" t="s">
        <v>1007</v>
      </c>
      <c r="D410" s="11" t="s">
        <v>1008</v>
      </c>
      <c r="E410" s="30" t="s">
        <v>72</v>
      </c>
      <c r="F410" s="32">
        <v>6.1</v>
      </c>
      <c r="G410">
        <f t="shared" si="13"/>
        <v>12.2</v>
      </c>
      <c r="H410" s="49"/>
      <c r="I410">
        <v>2</v>
      </c>
    </row>
    <row r="411" spans="1:9">
      <c r="A411">
        <v>346</v>
      </c>
      <c r="B411" s="10" t="s">
        <v>1009</v>
      </c>
      <c r="C411" s="10" t="s">
        <v>1010</v>
      </c>
      <c r="D411" s="11" t="s">
        <v>1011</v>
      </c>
      <c r="E411" s="30" t="s">
        <v>72</v>
      </c>
      <c r="F411" s="32">
        <v>6.49</v>
      </c>
      <c r="G411">
        <f t="shared" si="13"/>
        <v>12.98</v>
      </c>
      <c r="H411" s="49"/>
      <c r="I411">
        <v>2</v>
      </c>
    </row>
    <row r="412" spans="1:9">
      <c r="A412">
        <v>347</v>
      </c>
      <c r="B412" s="10" t="s">
        <v>1012</v>
      </c>
      <c r="C412" s="10" t="s">
        <v>1013</v>
      </c>
      <c r="D412" s="10" t="s">
        <v>1014</v>
      </c>
      <c r="E412" s="30" t="s">
        <v>72</v>
      </c>
      <c r="F412" s="32">
        <v>6.55</v>
      </c>
      <c r="G412">
        <f t="shared" si="13"/>
        <v>0</v>
      </c>
      <c r="H412" s="49"/>
      <c r="I412">
        <v>0</v>
      </c>
    </row>
    <row r="413" spans="1:9">
      <c r="A413">
        <v>348</v>
      </c>
      <c r="B413" s="10" t="s">
        <v>1015</v>
      </c>
      <c r="C413" s="10" t="s">
        <v>1016</v>
      </c>
      <c r="D413" s="11" t="s">
        <v>1017</v>
      </c>
      <c r="E413" s="30" t="s">
        <v>72</v>
      </c>
      <c r="F413" s="32">
        <v>8.23</v>
      </c>
      <c r="G413">
        <f t="shared" si="13"/>
        <v>0</v>
      </c>
      <c r="H413" s="49"/>
      <c r="I413">
        <v>0</v>
      </c>
    </row>
    <row r="414" spans="1:9">
      <c r="B414" s="10" t="s">
        <v>1243</v>
      </c>
      <c r="C414" s="10" t="s">
        <v>1242</v>
      </c>
      <c r="D414" s="11" t="s">
        <v>1262</v>
      </c>
      <c r="E414" s="30" t="s">
        <v>72</v>
      </c>
      <c r="F414" s="32">
        <v>6.44</v>
      </c>
      <c r="G414">
        <f t="shared" si="13"/>
        <v>0</v>
      </c>
      <c r="H414" s="49"/>
      <c r="I414">
        <v>0</v>
      </c>
    </row>
    <row r="415" spans="1:9">
      <c r="B415" s="10"/>
      <c r="C415" s="10"/>
      <c r="D415" s="11" t="s">
        <v>1266</v>
      </c>
      <c r="E415" s="30" t="s">
        <v>72</v>
      </c>
      <c r="F415" s="32">
        <v>4.66</v>
      </c>
      <c r="G415">
        <f t="shared" si="13"/>
        <v>0</v>
      </c>
      <c r="H415" s="49"/>
      <c r="I415">
        <v>0</v>
      </c>
    </row>
    <row r="416" spans="1:9">
      <c r="B416" s="10"/>
      <c r="C416" s="10" t="s">
        <v>1263</v>
      </c>
      <c r="D416" s="11" t="s">
        <v>1264</v>
      </c>
      <c r="E416" s="30" t="s">
        <v>1265</v>
      </c>
      <c r="F416" s="32">
        <v>7.8</v>
      </c>
      <c r="G416">
        <f t="shared" si="13"/>
        <v>23.4</v>
      </c>
      <c r="H416" s="49"/>
      <c r="I416">
        <v>3</v>
      </c>
    </row>
    <row r="417" spans="1:9">
      <c r="B417" s="15" t="s">
        <v>1311</v>
      </c>
      <c r="C417" s="15" t="s">
        <v>1311</v>
      </c>
      <c r="D417" s="11" t="s">
        <v>1312</v>
      </c>
      <c r="E417" s="30" t="s">
        <v>159</v>
      </c>
      <c r="F417" s="32">
        <v>1.69</v>
      </c>
      <c r="G417">
        <f t="shared" si="13"/>
        <v>10.14</v>
      </c>
      <c r="H417" s="49"/>
      <c r="I417">
        <v>6</v>
      </c>
    </row>
    <row r="418" spans="1:9">
      <c r="A418" s="5">
        <v>21</v>
      </c>
      <c r="B418" s="4" t="s">
        <v>1021</v>
      </c>
      <c r="C418" s="4" t="s">
        <v>1022</v>
      </c>
      <c r="D418" s="7" t="s">
        <v>1023</v>
      </c>
      <c r="E418" s="5" t="s">
        <v>73</v>
      </c>
      <c r="F418" s="5" t="s">
        <v>74</v>
      </c>
      <c r="H418" s="49"/>
    </row>
    <row r="419" spans="1:9">
      <c r="A419">
        <v>349</v>
      </c>
      <c r="B419" s="10" t="s">
        <v>1024</v>
      </c>
      <c r="C419" s="10" t="s">
        <v>1025</v>
      </c>
      <c r="D419" s="11" t="s">
        <v>1026</v>
      </c>
      <c r="E419" s="30" t="s">
        <v>72</v>
      </c>
      <c r="F419" s="38">
        <v>0</v>
      </c>
      <c r="G419">
        <f t="shared" si="13"/>
        <v>0</v>
      </c>
      <c r="H419" s="49"/>
      <c r="I419">
        <f t="shared" si="12"/>
        <v>0</v>
      </c>
    </row>
    <row r="420" spans="1:9">
      <c r="A420">
        <v>350</v>
      </c>
      <c r="B420" s="10" t="s">
        <v>1027</v>
      </c>
      <c r="C420" s="10" t="s">
        <v>1028</v>
      </c>
      <c r="D420" s="11" t="s">
        <v>1029</v>
      </c>
      <c r="E420" s="30" t="s">
        <v>430</v>
      </c>
      <c r="F420" s="38">
        <v>0.44</v>
      </c>
      <c r="G420">
        <f t="shared" si="13"/>
        <v>0</v>
      </c>
      <c r="H420" s="49"/>
      <c r="I420">
        <f t="shared" si="12"/>
        <v>0</v>
      </c>
    </row>
    <row r="421" spans="1:9">
      <c r="A421">
        <v>351</v>
      </c>
      <c r="B421" s="10" t="s">
        <v>1030</v>
      </c>
      <c r="C421" s="10" t="s">
        <v>1031</v>
      </c>
      <c r="D421" s="11" t="s">
        <v>1032</v>
      </c>
      <c r="E421" s="30" t="s">
        <v>430</v>
      </c>
      <c r="F421" s="38">
        <v>0.44</v>
      </c>
      <c r="G421">
        <f t="shared" si="13"/>
        <v>0</v>
      </c>
      <c r="H421" s="49"/>
      <c r="I421">
        <f t="shared" si="12"/>
        <v>0</v>
      </c>
    </row>
    <row r="422" spans="1:9">
      <c r="A422">
        <v>352</v>
      </c>
      <c r="B422" s="10" t="s">
        <v>1033</v>
      </c>
      <c r="C422" s="10" t="s">
        <v>1033</v>
      </c>
      <c r="D422" s="11" t="s">
        <v>1034</v>
      </c>
      <c r="E422" s="30" t="s">
        <v>430</v>
      </c>
      <c r="F422" s="38">
        <v>0.44</v>
      </c>
      <c r="G422">
        <f t="shared" si="13"/>
        <v>0</v>
      </c>
      <c r="H422" s="49"/>
      <c r="I422">
        <v>0</v>
      </c>
    </row>
    <row r="423" spans="1:9">
      <c r="A423">
        <v>353</v>
      </c>
      <c r="B423" s="10" t="s">
        <v>1035</v>
      </c>
      <c r="C423" s="10" t="s">
        <v>1036</v>
      </c>
      <c r="D423" s="11" t="s">
        <v>1037</v>
      </c>
      <c r="E423" s="30" t="s">
        <v>430</v>
      </c>
      <c r="F423" s="38">
        <v>0.44</v>
      </c>
      <c r="G423">
        <f t="shared" si="13"/>
        <v>0</v>
      </c>
      <c r="H423" s="49"/>
      <c r="I423">
        <v>0</v>
      </c>
    </row>
    <row r="424" spans="1:9">
      <c r="A424">
        <v>354</v>
      </c>
      <c r="B424" s="10" t="s">
        <v>1038</v>
      </c>
      <c r="C424" s="10" t="s">
        <v>1039</v>
      </c>
      <c r="D424" s="11" t="s">
        <v>1040</v>
      </c>
      <c r="E424" s="30" t="s">
        <v>430</v>
      </c>
      <c r="F424" s="38">
        <v>0.44</v>
      </c>
      <c r="G424">
        <f t="shared" si="13"/>
        <v>0</v>
      </c>
      <c r="H424" s="49"/>
      <c r="I424">
        <v>0</v>
      </c>
    </row>
    <row r="425" spans="1:9">
      <c r="A425">
        <v>355</v>
      </c>
      <c r="B425" s="10" t="s">
        <v>1041</v>
      </c>
      <c r="C425" s="10" t="s">
        <v>1041</v>
      </c>
      <c r="D425" s="11" t="s">
        <v>1042</v>
      </c>
      <c r="E425" s="30" t="s">
        <v>430</v>
      </c>
      <c r="F425" s="38">
        <v>0.44</v>
      </c>
      <c r="G425">
        <f t="shared" si="13"/>
        <v>0</v>
      </c>
      <c r="H425" s="49"/>
      <c r="I425">
        <v>0</v>
      </c>
    </row>
    <row r="426" spans="1:9">
      <c r="A426">
        <v>356</v>
      </c>
      <c r="B426" s="10" t="s">
        <v>1043</v>
      </c>
      <c r="C426" s="10" t="s">
        <v>1044</v>
      </c>
      <c r="D426" s="11" t="s">
        <v>1045</v>
      </c>
      <c r="E426" s="30" t="s">
        <v>430</v>
      </c>
      <c r="F426" s="38">
        <v>0.44</v>
      </c>
      <c r="G426">
        <f t="shared" si="13"/>
        <v>4.4000000000000004</v>
      </c>
      <c r="H426" s="49"/>
      <c r="I426">
        <v>10</v>
      </c>
    </row>
    <row r="427" spans="1:9">
      <c r="A427">
        <v>357</v>
      </c>
      <c r="B427" s="10" t="s">
        <v>1046</v>
      </c>
      <c r="C427" s="10" t="s">
        <v>1047</v>
      </c>
      <c r="D427" s="11" t="s">
        <v>1048</v>
      </c>
      <c r="E427" s="30" t="s">
        <v>430</v>
      </c>
      <c r="F427" s="38">
        <v>0.44</v>
      </c>
      <c r="G427">
        <f t="shared" si="13"/>
        <v>0</v>
      </c>
      <c r="H427" s="49"/>
      <c r="I427">
        <v>0</v>
      </c>
    </row>
    <row r="428" spans="1:9">
      <c r="A428">
        <v>358</v>
      </c>
      <c r="B428" s="10" t="s">
        <v>1049</v>
      </c>
      <c r="C428" s="10" t="s">
        <v>1050</v>
      </c>
      <c r="D428" s="11" t="s">
        <v>1051</v>
      </c>
      <c r="E428" s="30" t="s">
        <v>430</v>
      </c>
      <c r="F428" s="38">
        <v>0.44</v>
      </c>
      <c r="G428">
        <f t="shared" si="13"/>
        <v>0</v>
      </c>
      <c r="H428" s="49"/>
      <c r="I428">
        <f t="shared" si="12"/>
        <v>0</v>
      </c>
    </row>
    <row r="429" spans="1:9">
      <c r="A429">
        <v>359</v>
      </c>
      <c r="B429" s="10" t="s">
        <v>1052</v>
      </c>
      <c r="C429" s="10" t="s">
        <v>1053</v>
      </c>
      <c r="D429" s="11" t="s">
        <v>1054</v>
      </c>
      <c r="E429" s="30" t="s">
        <v>430</v>
      </c>
      <c r="F429" s="38">
        <v>0.44</v>
      </c>
      <c r="G429">
        <f t="shared" si="13"/>
        <v>0</v>
      </c>
      <c r="H429" s="49"/>
      <c r="I429">
        <f t="shared" si="12"/>
        <v>0</v>
      </c>
    </row>
    <row r="430" spans="1:9">
      <c r="A430">
        <v>360</v>
      </c>
      <c r="B430" s="10" t="s">
        <v>1055</v>
      </c>
      <c r="C430" s="10" t="s">
        <v>1056</v>
      </c>
      <c r="D430" s="11" t="s">
        <v>1057</v>
      </c>
      <c r="E430" s="30" t="s">
        <v>430</v>
      </c>
      <c r="F430" s="38">
        <v>0.44</v>
      </c>
      <c r="G430">
        <f t="shared" si="13"/>
        <v>0</v>
      </c>
      <c r="H430" s="49"/>
      <c r="I430">
        <f t="shared" si="12"/>
        <v>0</v>
      </c>
    </row>
    <row r="431" spans="1:9">
      <c r="A431">
        <v>361</v>
      </c>
      <c r="B431" s="10" t="s">
        <v>1058</v>
      </c>
      <c r="C431" s="10" t="s">
        <v>1059</v>
      </c>
      <c r="D431" s="11" t="s">
        <v>1060</v>
      </c>
      <c r="E431" s="30" t="s">
        <v>430</v>
      </c>
      <c r="F431" s="38">
        <v>0.44</v>
      </c>
      <c r="G431">
        <f t="shared" si="13"/>
        <v>0</v>
      </c>
      <c r="H431" s="49"/>
      <c r="I431">
        <f t="shared" si="12"/>
        <v>0</v>
      </c>
    </row>
    <row r="432" spans="1:9">
      <c r="A432">
        <v>362</v>
      </c>
      <c r="B432" s="10" t="s">
        <v>1061</v>
      </c>
      <c r="C432" s="10" t="s">
        <v>1062</v>
      </c>
      <c r="D432" s="11" t="s">
        <v>1063</v>
      </c>
      <c r="E432" s="30" t="s">
        <v>430</v>
      </c>
      <c r="F432" s="38">
        <v>0.55000000000000004</v>
      </c>
      <c r="G432">
        <f t="shared" si="13"/>
        <v>0</v>
      </c>
      <c r="H432" s="49"/>
      <c r="I432">
        <f t="shared" si="12"/>
        <v>0</v>
      </c>
    </row>
    <row r="433" spans="1:9">
      <c r="A433">
        <v>363</v>
      </c>
      <c r="B433" s="10" t="s">
        <v>1064</v>
      </c>
      <c r="C433" s="10" t="s">
        <v>1064</v>
      </c>
      <c r="D433" s="11" t="s">
        <v>1065</v>
      </c>
      <c r="E433" s="30" t="s">
        <v>430</v>
      </c>
      <c r="F433" s="38">
        <v>0.46</v>
      </c>
      <c r="G433">
        <f t="shared" si="13"/>
        <v>0</v>
      </c>
      <c r="H433" s="49"/>
      <c r="I433">
        <v>0</v>
      </c>
    </row>
    <row r="434" spans="1:9">
      <c r="A434">
        <v>364</v>
      </c>
      <c r="B434" s="10" t="s">
        <v>1066</v>
      </c>
      <c r="C434" s="10" t="s">
        <v>1067</v>
      </c>
      <c r="D434" s="11" t="s">
        <v>1068</v>
      </c>
      <c r="E434" s="30" t="s">
        <v>430</v>
      </c>
      <c r="F434" s="38">
        <v>0.52</v>
      </c>
      <c r="G434">
        <f t="shared" si="13"/>
        <v>0</v>
      </c>
      <c r="H434" s="49"/>
      <c r="I434">
        <f t="shared" si="12"/>
        <v>0</v>
      </c>
    </row>
    <row r="435" spans="1:9">
      <c r="A435">
        <v>365</v>
      </c>
      <c r="B435" s="10" t="s">
        <v>1069</v>
      </c>
      <c r="C435" s="10" t="s">
        <v>1070</v>
      </c>
      <c r="D435" s="11" t="s">
        <v>1071</v>
      </c>
      <c r="E435" s="30" t="s">
        <v>1072</v>
      </c>
      <c r="F435" s="38">
        <v>0.59</v>
      </c>
      <c r="G435">
        <f t="shared" si="13"/>
        <v>0</v>
      </c>
      <c r="H435" s="49"/>
      <c r="I435">
        <f t="shared" si="12"/>
        <v>0</v>
      </c>
    </row>
    <row r="436" spans="1:9">
      <c r="A436">
        <v>366</v>
      </c>
      <c r="B436" s="10" t="s">
        <v>1073</v>
      </c>
      <c r="C436" s="10" t="s">
        <v>1074</v>
      </c>
      <c r="D436" s="11" t="s">
        <v>1075</v>
      </c>
      <c r="E436" s="30" t="s">
        <v>613</v>
      </c>
      <c r="F436" s="38">
        <v>0.66</v>
      </c>
      <c r="G436">
        <f t="shared" si="13"/>
        <v>0</v>
      </c>
      <c r="H436" s="49"/>
      <c r="I436">
        <f t="shared" si="12"/>
        <v>0</v>
      </c>
    </row>
    <row r="437" spans="1:9">
      <c r="A437">
        <v>367</v>
      </c>
      <c r="B437" s="10" t="s">
        <v>1076</v>
      </c>
      <c r="C437" s="10" t="s">
        <v>1077</v>
      </c>
      <c r="D437" s="11" t="s">
        <v>1078</v>
      </c>
      <c r="E437" s="30" t="s">
        <v>72</v>
      </c>
      <c r="F437" s="38">
        <v>4.37</v>
      </c>
      <c r="G437">
        <f t="shared" si="13"/>
        <v>0</v>
      </c>
      <c r="H437" s="49"/>
      <c r="I437">
        <f t="shared" si="12"/>
        <v>0</v>
      </c>
    </row>
    <row r="438" spans="1:9">
      <c r="A438">
        <v>368</v>
      </c>
      <c r="B438" s="10" t="s">
        <v>1079</v>
      </c>
      <c r="C438" s="10" t="s">
        <v>1080</v>
      </c>
      <c r="D438" s="11" t="s">
        <v>1081</v>
      </c>
      <c r="E438" s="30" t="s">
        <v>72</v>
      </c>
      <c r="F438" s="38">
        <v>6.11</v>
      </c>
      <c r="G438">
        <f t="shared" si="13"/>
        <v>6.11</v>
      </c>
      <c r="H438" s="49"/>
      <c r="I438">
        <v>1</v>
      </c>
    </row>
    <row r="439" spans="1:9">
      <c r="A439">
        <v>369</v>
      </c>
      <c r="B439" s="10" t="s">
        <v>1082</v>
      </c>
      <c r="C439" s="10" t="s">
        <v>1083</v>
      </c>
      <c r="D439" s="11" t="s">
        <v>1084</v>
      </c>
      <c r="E439" s="30" t="s">
        <v>72</v>
      </c>
      <c r="F439" s="38">
        <v>6.29</v>
      </c>
      <c r="G439">
        <f t="shared" si="13"/>
        <v>0</v>
      </c>
      <c r="H439" s="49"/>
      <c r="I439">
        <v>0</v>
      </c>
    </row>
    <row r="440" spans="1:9">
      <c r="A440">
        <v>370</v>
      </c>
      <c r="B440" s="10" t="s">
        <v>1085</v>
      </c>
      <c r="C440" s="10" t="s">
        <v>1086</v>
      </c>
      <c r="D440" s="11" t="s">
        <v>1087</v>
      </c>
      <c r="E440" s="30" t="s">
        <v>1088</v>
      </c>
      <c r="F440" s="38">
        <v>10.94</v>
      </c>
      <c r="G440">
        <f t="shared" si="13"/>
        <v>0</v>
      </c>
      <c r="H440" s="49"/>
      <c r="I440">
        <f t="shared" si="12"/>
        <v>0</v>
      </c>
    </row>
    <row r="441" spans="1:9">
      <c r="A441">
        <v>371</v>
      </c>
      <c r="B441" s="10" t="s">
        <v>1089</v>
      </c>
      <c r="C441" s="10" t="s">
        <v>1090</v>
      </c>
      <c r="D441" s="11" t="s">
        <v>1091</v>
      </c>
      <c r="E441" s="30" t="s">
        <v>1092</v>
      </c>
      <c r="F441" s="38">
        <v>12.48</v>
      </c>
      <c r="G441">
        <f t="shared" si="13"/>
        <v>0</v>
      </c>
      <c r="H441" s="49"/>
      <c r="I441">
        <v>0</v>
      </c>
    </row>
    <row r="442" spans="1:9">
      <c r="A442">
        <v>372</v>
      </c>
      <c r="B442" s="10" t="s">
        <v>1093</v>
      </c>
      <c r="C442" s="10" t="s">
        <v>1094</v>
      </c>
      <c r="D442" s="11" t="s">
        <v>1095</v>
      </c>
      <c r="E442" s="30" t="s">
        <v>72</v>
      </c>
      <c r="F442" s="38">
        <v>12.93</v>
      </c>
      <c r="G442">
        <f t="shared" si="13"/>
        <v>0</v>
      </c>
      <c r="H442" s="49"/>
      <c r="I442">
        <v>0</v>
      </c>
    </row>
    <row r="443" spans="1:9">
      <c r="A443">
        <v>373</v>
      </c>
      <c r="B443" s="10" t="s">
        <v>1096</v>
      </c>
      <c r="C443" s="10" t="s">
        <v>1097</v>
      </c>
      <c r="D443" s="11" t="s">
        <v>1098</v>
      </c>
      <c r="E443" s="30" t="s">
        <v>1099</v>
      </c>
      <c r="F443" s="38">
        <v>19.22</v>
      </c>
      <c r="G443">
        <f t="shared" si="13"/>
        <v>0</v>
      </c>
      <c r="H443" s="49"/>
      <c r="I443">
        <f t="shared" si="12"/>
        <v>0</v>
      </c>
    </row>
    <row r="444" spans="1:9">
      <c r="A444">
        <v>374</v>
      </c>
      <c r="B444" s="10" t="s">
        <v>1100</v>
      </c>
      <c r="C444" s="10" t="s">
        <v>1101</v>
      </c>
      <c r="D444" s="11" t="s">
        <v>1102</v>
      </c>
      <c r="E444" s="30" t="s">
        <v>430</v>
      </c>
      <c r="F444" s="38">
        <v>19.920000000000002</v>
      </c>
      <c r="G444">
        <f t="shared" si="13"/>
        <v>0</v>
      </c>
      <c r="H444" s="49"/>
      <c r="I444">
        <f t="shared" si="12"/>
        <v>0</v>
      </c>
    </row>
    <row r="445" spans="1:9">
      <c r="A445" s="6">
        <v>22</v>
      </c>
      <c r="B445" s="4" t="s">
        <v>1103</v>
      </c>
      <c r="C445" s="4" t="s">
        <v>1104</v>
      </c>
      <c r="D445" s="7" t="s">
        <v>1105</v>
      </c>
      <c r="E445" s="5" t="s">
        <v>73</v>
      </c>
      <c r="F445" s="5" t="s">
        <v>74</v>
      </c>
      <c r="H445" s="49"/>
    </row>
    <row r="446" spans="1:9">
      <c r="A446" s="27">
        <v>375</v>
      </c>
      <c r="B446" s="10" t="s">
        <v>1106</v>
      </c>
      <c r="C446" s="10" t="s">
        <v>1107</v>
      </c>
      <c r="D446" s="11" t="s">
        <v>1108</v>
      </c>
      <c r="E446" s="30" t="s">
        <v>159</v>
      </c>
      <c r="F446" s="38">
        <v>0.65</v>
      </c>
      <c r="G446">
        <f t="shared" si="13"/>
        <v>0</v>
      </c>
      <c r="H446" s="49"/>
      <c r="I446">
        <v>0</v>
      </c>
    </row>
    <row r="447" spans="1:9">
      <c r="A447" s="27">
        <v>376</v>
      </c>
      <c r="B447" s="10" t="s">
        <v>1109</v>
      </c>
      <c r="C447" s="10" t="s">
        <v>1110</v>
      </c>
      <c r="D447" s="11" t="s">
        <v>1111</v>
      </c>
      <c r="E447" s="30" t="s">
        <v>72</v>
      </c>
      <c r="F447" s="38">
        <v>1.77</v>
      </c>
      <c r="G447">
        <f t="shared" si="13"/>
        <v>0</v>
      </c>
      <c r="H447" s="49"/>
      <c r="I447">
        <f t="shared" si="12"/>
        <v>0</v>
      </c>
    </row>
    <row r="448" spans="1:9">
      <c r="A448" s="27">
        <v>377</v>
      </c>
      <c r="B448" s="10" t="s">
        <v>1112</v>
      </c>
      <c r="C448" s="10" t="s">
        <v>1113</v>
      </c>
      <c r="D448" s="11" t="s">
        <v>1114</v>
      </c>
      <c r="E448" s="30" t="s">
        <v>72</v>
      </c>
      <c r="F448" s="38">
        <v>1.88</v>
      </c>
      <c r="G448">
        <f t="shared" si="13"/>
        <v>0</v>
      </c>
      <c r="H448" s="49"/>
      <c r="I448">
        <f t="shared" si="12"/>
        <v>0</v>
      </c>
    </row>
    <row r="449" spans="1:9">
      <c r="A449" s="27">
        <v>378</v>
      </c>
      <c r="B449" s="10" t="s">
        <v>1115</v>
      </c>
      <c r="C449" s="10" t="s">
        <v>1116</v>
      </c>
      <c r="D449" s="11" t="s">
        <v>1117</v>
      </c>
      <c r="E449" s="30" t="s">
        <v>72</v>
      </c>
      <c r="F449" s="38">
        <v>2.89</v>
      </c>
      <c r="G449">
        <f t="shared" si="13"/>
        <v>0</v>
      </c>
      <c r="H449" s="49"/>
      <c r="I449">
        <f t="shared" si="12"/>
        <v>0</v>
      </c>
    </row>
    <row r="450" spans="1:9">
      <c r="A450" s="27">
        <v>379</v>
      </c>
      <c r="B450" s="10" t="s">
        <v>1118</v>
      </c>
      <c r="C450" s="10" t="s">
        <v>1119</v>
      </c>
      <c r="D450" s="11" t="s">
        <v>1120</v>
      </c>
      <c r="E450" s="30" t="s">
        <v>72</v>
      </c>
      <c r="F450" s="38">
        <v>2.2000000000000002</v>
      </c>
      <c r="G450">
        <f t="shared" si="13"/>
        <v>0</v>
      </c>
      <c r="H450" s="49"/>
      <c r="I450">
        <f t="shared" si="12"/>
        <v>0</v>
      </c>
    </row>
    <row r="451" spans="1:9">
      <c r="A451" s="27">
        <v>380</v>
      </c>
      <c r="B451" s="10" t="s">
        <v>1121</v>
      </c>
      <c r="C451" s="10" t="s">
        <v>1122</v>
      </c>
      <c r="D451" s="11" t="s">
        <v>1123</v>
      </c>
      <c r="E451" s="30" t="s">
        <v>72</v>
      </c>
      <c r="F451" s="38">
        <v>3.33</v>
      </c>
      <c r="G451">
        <f t="shared" si="13"/>
        <v>19.98</v>
      </c>
      <c r="H451" s="49"/>
      <c r="I451">
        <v>6</v>
      </c>
    </row>
    <row r="452" spans="1:9">
      <c r="A452" s="27">
        <v>381</v>
      </c>
      <c r="B452" s="10" t="s">
        <v>1124</v>
      </c>
      <c r="C452" s="10" t="s">
        <v>1125</v>
      </c>
      <c r="D452" s="11" t="s">
        <v>1126</v>
      </c>
      <c r="E452" s="30" t="s">
        <v>72</v>
      </c>
      <c r="F452" s="38">
        <v>3.12</v>
      </c>
      <c r="G452">
        <f t="shared" si="13"/>
        <v>0</v>
      </c>
      <c r="H452" s="49"/>
      <c r="I452">
        <f t="shared" si="12"/>
        <v>0</v>
      </c>
    </row>
    <row r="453" spans="1:9">
      <c r="A453" s="27">
        <v>382</v>
      </c>
      <c r="B453" s="10" t="s">
        <v>1127</v>
      </c>
      <c r="C453" s="10" t="s">
        <v>1127</v>
      </c>
      <c r="D453" s="11" t="s">
        <v>1128</v>
      </c>
      <c r="E453" s="30" t="s">
        <v>72</v>
      </c>
      <c r="F453" s="38">
        <v>3.33</v>
      </c>
      <c r="G453">
        <f t="shared" si="13"/>
        <v>19.98</v>
      </c>
      <c r="H453" s="49"/>
      <c r="I453">
        <v>6</v>
      </c>
    </row>
    <row r="454" spans="1:9">
      <c r="A454" s="27">
        <v>383</v>
      </c>
      <c r="B454" s="10" t="s">
        <v>1129</v>
      </c>
      <c r="C454" s="10" t="s">
        <v>1130</v>
      </c>
      <c r="D454" s="11" t="s">
        <v>1131</v>
      </c>
      <c r="E454" s="30" t="s">
        <v>72</v>
      </c>
      <c r="F454" s="38">
        <v>3.55</v>
      </c>
      <c r="G454">
        <f t="shared" si="13"/>
        <v>17.75</v>
      </c>
      <c r="H454" s="49"/>
      <c r="I454">
        <v>5</v>
      </c>
    </row>
    <row r="455" spans="1:9">
      <c r="A455" s="27">
        <v>384</v>
      </c>
      <c r="B455" s="10" t="s">
        <v>1132</v>
      </c>
      <c r="C455" s="10" t="s">
        <v>1133</v>
      </c>
      <c r="D455" s="11" t="s">
        <v>1134</v>
      </c>
      <c r="E455" s="30" t="s">
        <v>72</v>
      </c>
      <c r="F455" s="38">
        <v>4.5</v>
      </c>
      <c r="G455">
        <f t="shared" si="13"/>
        <v>0</v>
      </c>
      <c r="H455" s="49"/>
      <c r="I455">
        <v>0</v>
      </c>
    </row>
    <row r="456" spans="1:9">
      <c r="A456" s="27">
        <v>385</v>
      </c>
      <c r="B456" s="10" t="s">
        <v>1135</v>
      </c>
      <c r="C456" s="10" t="s">
        <v>1136</v>
      </c>
      <c r="D456" s="11" t="s">
        <v>1137</v>
      </c>
      <c r="E456" s="30" t="s">
        <v>72</v>
      </c>
      <c r="F456" s="38">
        <v>2.33</v>
      </c>
      <c r="G456">
        <f t="shared" si="13"/>
        <v>0</v>
      </c>
      <c r="H456" s="49"/>
      <c r="I456">
        <f t="shared" si="12"/>
        <v>0</v>
      </c>
    </row>
    <row r="457" spans="1:9">
      <c r="A457" s="27">
        <v>386</v>
      </c>
      <c r="B457" s="10" t="s">
        <v>1138</v>
      </c>
      <c r="C457" s="10" t="s">
        <v>1138</v>
      </c>
      <c r="D457" s="11" t="s">
        <v>1139</v>
      </c>
      <c r="E457" s="30" t="s">
        <v>72</v>
      </c>
      <c r="F457" s="38">
        <v>2.4500000000000002</v>
      </c>
      <c r="G457">
        <f t="shared" si="13"/>
        <v>0</v>
      </c>
      <c r="H457" s="49"/>
      <c r="I457">
        <f t="shared" si="12"/>
        <v>0</v>
      </c>
    </row>
    <row r="458" spans="1:9">
      <c r="A458" s="27">
        <v>387</v>
      </c>
      <c r="B458" s="10" t="s">
        <v>1140</v>
      </c>
      <c r="C458" s="10" t="s">
        <v>1141</v>
      </c>
      <c r="D458" s="11" t="s">
        <v>1142</v>
      </c>
      <c r="E458" s="30" t="s">
        <v>430</v>
      </c>
      <c r="F458" s="38">
        <v>2.37</v>
      </c>
      <c r="G458">
        <f t="shared" si="13"/>
        <v>9.48</v>
      </c>
      <c r="H458" s="49"/>
      <c r="I458">
        <v>4</v>
      </c>
    </row>
    <row r="459" spans="1:9">
      <c r="A459" s="27">
        <v>388</v>
      </c>
      <c r="B459" s="10" t="s">
        <v>1143</v>
      </c>
      <c r="C459" s="10" t="s">
        <v>1144</v>
      </c>
      <c r="D459" s="11" t="s">
        <v>1145</v>
      </c>
      <c r="E459" s="30" t="s">
        <v>72</v>
      </c>
      <c r="F459" s="38">
        <v>3.53</v>
      </c>
      <c r="G459">
        <f t="shared" si="13"/>
        <v>0</v>
      </c>
      <c r="H459" s="49"/>
      <c r="I459">
        <f t="shared" ref="I459:I465" si="14">H459*F459</f>
        <v>0</v>
      </c>
    </row>
    <row r="460" spans="1:9">
      <c r="A460" s="27">
        <v>389</v>
      </c>
      <c r="B460" s="10" t="s">
        <v>1146</v>
      </c>
      <c r="C460" s="10" t="s">
        <v>1147</v>
      </c>
      <c r="D460" s="11" t="s">
        <v>1148</v>
      </c>
      <c r="E460" s="30" t="s">
        <v>72</v>
      </c>
      <c r="F460" s="38">
        <v>3.38</v>
      </c>
      <c r="G460">
        <f t="shared" ref="G460:G466" si="15" xml:space="preserve"> F460*I460</f>
        <v>0</v>
      </c>
      <c r="H460" s="49"/>
      <c r="I460">
        <v>0</v>
      </c>
    </row>
    <row r="461" spans="1:9">
      <c r="A461" s="27">
        <v>390</v>
      </c>
      <c r="B461" s="10" t="s">
        <v>1149</v>
      </c>
      <c r="C461" s="10" t="s">
        <v>1150</v>
      </c>
      <c r="D461" s="11" t="s">
        <v>1151</v>
      </c>
      <c r="E461" s="30" t="s">
        <v>72</v>
      </c>
      <c r="F461" s="38">
        <v>3.69</v>
      </c>
      <c r="G461">
        <f t="shared" si="15"/>
        <v>0</v>
      </c>
      <c r="H461" s="49"/>
      <c r="I461">
        <f t="shared" si="14"/>
        <v>0</v>
      </c>
    </row>
    <row r="462" spans="1:9">
      <c r="A462" s="27">
        <v>391</v>
      </c>
      <c r="B462" s="10" t="s">
        <v>1152</v>
      </c>
      <c r="C462" s="10" t="s">
        <v>1153</v>
      </c>
      <c r="D462" s="11" t="s">
        <v>1154</v>
      </c>
      <c r="E462" s="30" t="s">
        <v>72</v>
      </c>
      <c r="F462" s="38">
        <v>4.29</v>
      </c>
      <c r="G462">
        <f t="shared" si="15"/>
        <v>0</v>
      </c>
      <c r="H462" s="49"/>
      <c r="I462">
        <v>0</v>
      </c>
    </row>
    <row r="463" spans="1:9">
      <c r="A463" s="27">
        <v>392</v>
      </c>
      <c r="B463" s="10" t="s">
        <v>1180</v>
      </c>
      <c r="C463" s="10" t="s">
        <v>1181</v>
      </c>
      <c r="D463" s="11" t="s">
        <v>1182</v>
      </c>
      <c r="E463" s="30" t="s">
        <v>72</v>
      </c>
      <c r="F463" s="38">
        <v>2.5499999999999998</v>
      </c>
      <c r="G463">
        <f t="shared" si="15"/>
        <v>0</v>
      </c>
      <c r="H463" s="49"/>
      <c r="I463">
        <f t="shared" si="14"/>
        <v>0</v>
      </c>
    </row>
    <row r="464" spans="1:9">
      <c r="A464" s="27">
        <v>393</v>
      </c>
      <c r="B464" s="28" t="s">
        <v>1183</v>
      </c>
      <c r="C464" s="28" t="s">
        <v>1184</v>
      </c>
      <c r="D464" s="11" t="s">
        <v>1185</v>
      </c>
      <c r="E464" s="30" t="s">
        <v>72</v>
      </c>
      <c r="F464" s="38">
        <v>4.6500000000000004</v>
      </c>
      <c r="G464">
        <f t="shared" si="15"/>
        <v>0</v>
      </c>
      <c r="H464" s="49"/>
      <c r="I464">
        <v>0</v>
      </c>
    </row>
    <row r="465" spans="1:9">
      <c r="A465" s="27">
        <v>394</v>
      </c>
      <c r="B465" s="28" t="s">
        <v>1222</v>
      </c>
      <c r="C465" s="28" t="s">
        <v>1223</v>
      </c>
      <c r="D465" s="11" t="s">
        <v>1224</v>
      </c>
      <c r="E465" s="30" t="s">
        <v>72</v>
      </c>
      <c r="F465" s="38">
        <v>2.5499999999999998</v>
      </c>
      <c r="G465">
        <f t="shared" si="15"/>
        <v>0</v>
      </c>
      <c r="H465" s="49"/>
      <c r="I465">
        <f t="shared" si="14"/>
        <v>0</v>
      </c>
    </row>
    <row r="466" spans="1:9">
      <c r="A466" s="27"/>
      <c r="B466" s="28" t="s">
        <v>1260</v>
      </c>
      <c r="C466" s="28"/>
      <c r="D466" s="11" t="s">
        <v>1261</v>
      </c>
      <c r="E466" s="30" t="s">
        <v>159</v>
      </c>
      <c r="F466" s="38">
        <v>3.77</v>
      </c>
      <c r="G466">
        <f t="shared" si="15"/>
        <v>0</v>
      </c>
      <c r="H466" s="49"/>
      <c r="I466">
        <v>0</v>
      </c>
    </row>
    <row r="467" spans="1:9">
      <c r="B467" s="11"/>
      <c r="D467" s="11"/>
      <c r="E467" s="30"/>
      <c r="F467" s="38"/>
    </row>
    <row r="469" spans="1:9" ht="19.5">
      <c r="D469" s="3" t="s">
        <v>1155</v>
      </c>
      <c r="G469">
        <f>SUM(G11:G466)</f>
        <v>3638.8900000000008</v>
      </c>
    </row>
    <row r="472" spans="1:9" ht="18.75">
      <c r="C472" s="42"/>
    </row>
    <row r="473" spans="1:9">
      <c r="F473" s="38"/>
    </row>
    <row r="474" spans="1:9">
      <c r="F474" s="38"/>
    </row>
    <row r="475" spans="1:9">
      <c r="F475" s="38"/>
    </row>
    <row r="476" spans="1:9">
      <c r="F476" s="38"/>
    </row>
    <row r="477" spans="1:9">
      <c r="F477" s="38"/>
    </row>
    <row r="478" spans="1:9">
      <c r="F478" s="38"/>
    </row>
    <row r="479" spans="1:9">
      <c r="F479" s="38"/>
    </row>
    <row r="480" spans="1:9">
      <c r="F480" s="38"/>
    </row>
    <row r="481" spans="6:6">
      <c r="F481" s="38"/>
    </row>
    <row r="482" spans="6:6">
      <c r="F482" s="38"/>
    </row>
    <row r="483" spans="6:6">
      <c r="F483" s="38"/>
    </row>
    <row r="484" spans="6:6">
      <c r="F484" s="38"/>
    </row>
    <row r="485" spans="6:6">
      <c r="F485" s="38"/>
    </row>
  </sheetData>
  <mergeCells count="1">
    <mergeCell ref="C6:D6"/>
  </mergeCells>
  <hyperlinks>
    <hyperlink ref="C6" r:id="rId1"/>
    <hyperlink ref="C7" r:id="rId2"/>
    <hyperlink ref="C8" r:id="rId3"/>
  </hyperlinks>
  <pageMargins left="0.7" right="0.7" top="0.75" bottom="0.75" header="0.3" footer="0.3"/>
  <pageSetup paperSize="9" scale="68" orientation="portrait" r:id="rId4"/>
  <rowBreaks count="3" manualBreakCount="3">
    <brk id="73" max="6" man="1"/>
    <brk id="136" max="6" man="1"/>
    <brk id="210" max="6" man="1"/>
  </rowBreaks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Arkusz2</vt:lpstr>
      <vt:lpstr>Arkusz2!Область_печати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2025-12-08T19:28:56Z</dcterms:modified>
</cp:coreProperties>
</file>